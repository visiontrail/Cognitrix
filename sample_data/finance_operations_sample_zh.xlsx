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与实际对比" sheetId="1" state="visible" r:id="rId1"/>
    <sheet xmlns:r="http://schemas.openxmlformats.org/officeDocument/2006/relationships" name="汇总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  <col width="8" customWidth="1" min="6" max="6"/>
    <col width="8" customWidth="1" min="7" max="7"/>
    <col width="16" customWidth="1" min="8" max="8"/>
    <col width="16" customWidth="1" min="9" max="9"/>
    <col width="16" customWidth="1" min="10" max="10"/>
    <col width="14" customWidth="1" min="11" max="11"/>
    <col width="18" customWidth="1" min="12" max="12"/>
    <col width="18" customWidth="1" min="13" max="13"/>
    <col width="18" customWidth="1" min="14" max="14"/>
    <col width="16" customWidth="1" min="15" max="15"/>
    <col width="10" customWidth="1" min="16" max="16"/>
    <col width="20" customWidth="1" min="17" max="17"/>
  </cols>
  <sheetData>
    <row r="1" ht="32" customHeight="1">
      <c r="A1" s="1" t="inlineStr">
        <is>
          <t>记录编号</t>
        </is>
      </c>
      <c r="B1" s="1" t="inlineStr">
        <is>
          <t>成本中心</t>
        </is>
      </c>
      <c r="C1" s="1" t="inlineStr">
        <is>
          <t>部门</t>
        </is>
      </c>
      <c r="D1" s="1" t="inlineStr">
        <is>
          <t>费用类别</t>
        </is>
      </c>
      <c r="E1" s="1" t="inlineStr">
        <is>
          <t>费用子类</t>
        </is>
      </c>
      <c r="F1" s="1" t="inlineStr">
        <is>
          <t>财年</t>
        </is>
      </c>
      <c r="G1" s="1" t="inlineStr">
        <is>
          <t>月份</t>
        </is>
      </c>
      <c r="H1" s="1" t="inlineStr">
        <is>
          <t>预算（元）</t>
        </is>
      </c>
      <c r="I1" s="1" t="inlineStr">
        <is>
          <t>实际支出（元）</t>
        </is>
      </c>
      <c r="J1" s="1" t="inlineStr">
        <is>
          <t>差异额（元）</t>
        </is>
      </c>
      <c r="K1" s="1" t="inlineStr">
        <is>
          <t>差异率（%）</t>
        </is>
      </c>
      <c r="L1" s="1" t="inlineStr">
        <is>
          <t>年初至今预算（元）</t>
        </is>
      </c>
      <c r="M1" s="1" t="inlineStr">
        <is>
          <t>年初至今实际（元）</t>
        </is>
      </c>
      <c r="N1" s="1" t="inlineStr">
        <is>
          <t>年初至今差异额（元）</t>
        </is>
      </c>
      <c r="O1" s="1" t="inlineStr">
        <is>
          <t>年初至今差异率（%）</t>
        </is>
      </c>
      <c r="P1" s="1" t="inlineStr">
        <is>
          <t>状态</t>
        </is>
      </c>
      <c r="Q1" s="1" t="inlineStr">
        <is>
          <t>备注</t>
        </is>
      </c>
    </row>
    <row r="2" ht="20" customHeight="1">
      <c r="A2" s="2" t="inlineStr">
        <is>
          <t>FIN-0001</t>
        </is>
      </c>
      <c r="B2" s="2" t="inlineStr">
        <is>
          <t>CC-001</t>
        </is>
      </c>
      <c r="C2" s="2" t="inlineStr">
        <is>
          <t>工程部</t>
        </is>
      </c>
      <c r="D2" s="2" t="inlineStr">
        <is>
          <t>人员成本</t>
        </is>
      </c>
      <c r="E2" s="2" t="inlineStr">
        <is>
          <t>薪资</t>
        </is>
      </c>
      <c r="F2" s="2" t="n">
        <v>2025</v>
      </c>
      <c r="G2" s="2" t="inlineStr">
        <is>
          <t>1月</t>
        </is>
      </c>
      <c r="H2" s="2" t="n">
        <v>3025000</v>
      </c>
      <c r="I2" s="2" t="n">
        <v>3014000</v>
      </c>
      <c r="J2" s="2">
        <f>I2-H2</f>
        <v/>
      </c>
      <c r="K2" s="2">
        <f>IFERROR((I2-H2)/H2*100,0)</f>
        <v/>
      </c>
      <c r="L2" s="2" t="n">
        <v>3025000</v>
      </c>
      <c r="M2" s="2" t="n">
        <v>2977832</v>
      </c>
      <c r="N2" s="2">
        <f>N2-M2</f>
        <v/>
      </c>
      <c r="O2" s="2">
        <f>IFERROR((N2-M2)/M2*100,0)</f>
        <v/>
      </c>
      <c r="P2" s="2" t="inlineStr">
        <is>
          <t>正常</t>
        </is>
      </c>
      <c r="Q2" s="2" t="inlineStr"/>
    </row>
    <row r="3" ht="20" customHeight="1">
      <c r="A3" s="3" t="inlineStr">
        <is>
          <t>FIN-0002</t>
        </is>
      </c>
      <c r="B3" s="3" t="inlineStr">
        <is>
          <t>CC-001</t>
        </is>
      </c>
      <c r="C3" s="3" t="inlineStr">
        <is>
          <t>工程部</t>
        </is>
      </c>
      <c r="D3" s="3" t="inlineStr">
        <is>
          <t>人员成本</t>
        </is>
      </c>
      <c r="E3" s="3" t="inlineStr">
        <is>
          <t>福利</t>
        </is>
      </c>
      <c r="F3" s="3" t="n">
        <v>2025</v>
      </c>
      <c r="G3" s="3" t="inlineStr">
        <is>
          <t>1月</t>
        </is>
      </c>
      <c r="H3" s="3" t="n">
        <v>455000</v>
      </c>
      <c r="I3" s="3" t="n">
        <v>440000</v>
      </c>
      <c r="J3" s="3">
        <f>I3-H3</f>
        <v/>
      </c>
      <c r="K3" s="3">
        <f>IFERROR((I3-H3)/H3*100,0)</f>
        <v/>
      </c>
      <c r="L3" s="3" t="n">
        <v>455000</v>
      </c>
      <c r="M3" s="3" t="n">
        <v>438240</v>
      </c>
      <c r="N3" s="3">
        <f>N3-M3</f>
        <v/>
      </c>
      <c r="O3" s="3">
        <f>IFERROR((N3-M3)/M3*100,0)</f>
        <v/>
      </c>
      <c r="P3" s="3" t="inlineStr">
        <is>
          <t>正常</t>
        </is>
      </c>
      <c r="Q3" s="3" t="inlineStr"/>
    </row>
    <row r="4" ht="20" customHeight="1">
      <c r="A4" s="2" t="inlineStr">
        <is>
          <t>FIN-0003</t>
        </is>
      </c>
      <c r="B4" s="2" t="inlineStr">
        <is>
          <t>CC-001</t>
        </is>
      </c>
      <c r="C4" s="2" t="inlineStr">
        <is>
          <t>工程部</t>
        </is>
      </c>
      <c r="D4" s="2" t="inlineStr">
        <is>
          <t>运营成本</t>
        </is>
      </c>
      <c r="E4" s="2" t="inlineStr">
        <is>
          <t>软件许可</t>
        </is>
      </c>
      <c r="F4" s="2" t="n">
        <v>2025</v>
      </c>
      <c r="G4" s="2" t="inlineStr">
        <is>
          <t>1月</t>
        </is>
      </c>
      <c r="H4" s="2" t="n">
        <v>130000</v>
      </c>
      <c r="I4" s="2" t="n">
        <v>143000</v>
      </c>
      <c r="J4" s="2">
        <f>I4-H4</f>
        <v/>
      </c>
      <c r="K4" s="2">
        <f>IFERROR((I4-H4)/H4*100,0)</f>
        <v/>
      </c>
      <c r="L4" s="2" t="n">
        <v>130000</v>
      </c>
      <c r="M4" s="2" t="n">
        <v>143572</v>
      </c>
      <c r="N4" s="2">
        <f>N4-M4</f>
        <v/>
      </c>
      <c r="O4" s="2">
        <f>IFERROR((N4-M4)/M4*100,0)</f>
        <v/>
      </c>
      <c r="P4" s="2" t="inlineStr">
        <is>
          <t>超预算</t>
        </is>
      </c>
      <c r="Q4" s="2" t="inlineStr"/>
    </row>
    <row r="5" ht="20" customHeight="1">
      <c r="A5" s="3" t="inlineStr">
        <is>
          <t>FIN-0004</t>
        </is>
      </c>
      <c r="B5" s="3" t="inlineStr">
        <is>
          <t>CC-001</t>
        </is>
      </c>
      <c r="C5" s="3" t="inlineStr">
        <is>
          <t>工程部</t>
        </is>
      </c>
      <c r="D5" s="3" t="inlineStr">
        <is>
          <t>运营成本</t>
        </is>
      </c>
      <c r="E5" s="3" t="inlineStr">
        <is>
          <t>云基础设施</t>
        </is>
      </c>
      <c r="F5" s="3" t="n">
        <v>2025</v>
      </c>
      <c r="G5" s="3" t="inlineStr">
        <is>
          <t>1月</t>
        </is>
      </c>
      <c r="H5" s="3" t="n">
        <v>230000</v>
      </c>
      <c r="I5" s="3" t="n">
        <v>256000</v>
      </c>
      <c r="J5" s="3">
        <f>I5-H5</f>
        <v/>
      </c>
      <c r="K5" s="3">
        <f>IFERROR((I5-H5)/H5*100,0)</f>
        <v/>
      </c>
      <c r="L5" s="3" t="n">
        <v>230000</v>
      </c>
      <c r="M5" s="3" t="n">
        <v>259072</v>
      </c>
      <c r="N5" s="3">
        <f>N5-M5</f>
        <v/>
      </c>
      <c r="O5" s="3">
        <f>IFERROR((N5-M5)/M5*100,0)</f>
        <v/>
      </c>
      <c r="P5" s="3" t="inlineStr">
        <is>
          <t>超预算</t>
        </is>
      </c>
      <c r="Q5" s="3" t="inlineStr"/>
    </row>
    <row r="6" ht="20" customHeight="1">
      <c r="A6" s="2" t="inlineStr">
        <is>
          <t>FIN-0005</t>
        </is>
      </c>
      <c r="B6" s="2" t="inlineStr">
        <is>
          <t>CC-002</t>
        </is>
      </c>
      <c r="C6" s="2" t="inlineStr">
        <is>
          <t>销售部</t>
        </is>
      </c>
      <c r="D6" s="2" t="inlineStr">
        <is>
          <t>人员成本</t>
        </is>
      </c>
      <c r="E6" s="2" t="inlineStr">
        <is>
          <t>薪资</t>
        </is>
      </c>
      <c r="F6" s="2" t="n">
        <v>2025</v>
      </c>
      <c r="G6" s="2" t="inlineStr">
        <is>
          <t>1月</t>
        </is>
      </c>
      <c r="H6" s="2" t="n">
        <v>2235000</v>
      </c>
      <c r="I6" s="2" t="n">
        <v>2220000</v>
      </c>
      <c r="J6" s="2">
        <f>I6-H6</f>
        <v/>
      </c>
      <c r="K6" s="2">
        <f>IFERROR((I6-H6)/H6*100,0)</f>
        <v/>
      </c>
      <c r="L6" s="2" t="n">
        <v>2235000</v>
      </c>
      <c r="M6" s="2" t="n">
        <v>2175600</v>
      </c>
      <c r="N6" s="2">
        <f>N6-M6</f>
        <v/>
      </c>
      <c r="O6" s="2">
        <f>IFERROR((N6-M6)/M6*100,0)</f>
        <v/>
      </c>
      <c r="P6" s="2" t="inlineStr">
        <is>
          <t>正常</t>
        </is>
      </c>
      <c r="Q6" s="2" t="inlineStr"/>
    </row>
    <row r="7" ht="20" customHeight="1">
      <c r="A7" s="3" t="inlineStr">
        <is>
          <t>FIN-0006</t>
        </is>
      </c>
      <c r="B7" s="3" t="inlineStr">
        <is>
          <t>CC-002</t>
        </is>
      </c>
      <c r="C7" s="3" t="inlineStr">
        <is>
          <t>销售部</t>
        </is>
      </c>
      <c r="D7" s="3" t="inlineStr">
        <is>
          <t>人员成本</t>
        </is>
      </c>
      <c r="E7" s="3" t="inlineStr">
        <is>
          <t>销售提成</t>
        </is>
      </c>
      <c r="F7" s="3" t="n">
        <v>2025</v>
      </c>
      <c r="G7" s="3" t="inlineStr">
        <is>
          <t>1月</t>
        </is>
      </c>
      <c r="H7" s="3" t="n">
        <v>685000</v>
      </c>
      <c r="I7" s="3" t="n">
        <v>806000</v>
      </c>
      <c r="J7" s="3">
        <f>I7-H7</f>
        <v/>
      </c>
      <c r="K7" s="3">
        <f>IFERROR((I7-H7)/H7*100,0)</f>
        <v/>
      </c>
      <c r="L7" s="3" t="n">
        <v>685000</v>
      </c>
      <c r="M7" s="3" t="n">
        <v>796328</v>
      </c>
      <c r="N7" s="3">
        <f>N7-M7</f>
        <v/>
      </c>
      <c r="O7" s="3">
        <f>IFERROR((N7-M7)/M7*100,0)</f>
        <v/>
      </c>
      <c r="P7" s="3" t="inlineStr">
        <is>
          <t>超预算</t>
        </is>
      </c>
      <c r="Q7" s="3" t="inlineStr"/>
    </row>
    <row r="8" ht="20" customHeight="1">
      <c r="A8" s="2" t="inlineStr">
        <is>
          <t>FIN-0007</t>
        </is>
      </c>
      <c r="B8" s="2" t="inlineStr">
        <is>
          <t>CC-002</t>
        </is>
      </c>
      <c r="C8" s="2" t="inlineStr">
        <is>
          <t>销售部</t>
        </is>
      </c>
      <c r="D8" s="2" t="inlineStr">
        <is>
          <t>市场推广</t>
        </is>
      </c>
      <c r="E8" s="2" t="inlineStr">
        <is>
          <t>差旅与招待</t>
        </is>
      </c>
      <c r="F8" s="2" t="n">
        <v>2025</v>
      </c>
      <c r="G8" s="2" t="inlineStr">
        <is>
          <t>1月</t>
        </is>
      </c>
      <c r="H8" s="2" t="n">
        <v>200000</v>
      </c>
      <c r="I8" s="2" t="n">
        <v>227000</v>
      </c>
      <c r="J8" s="2">
        <f>I8-H8</f>
        <v/>
      </c>
      <c r="K8" s="2">
        <f>IFERROR((I8-H8)/H8*100,0)</f>
        <v/>
      </c>
      <c r="L8" s="2" t="n">
        <v>200000</v>
      </c>
      <c r="M8" s="2" t="n">
        <v>226092</v>
      </c>
      <c r="N8" s="2">
        <f>N8-M8</f>
        <v/>
      </c>
      <c r="O8" s="2">
        <f>IFERROR((N8-M8)/M8*100,0)</f>
        <v/>
      </c>
      <c r="P8" s="2" t="inlineStr">
        <is>
          <t>超预算</t>
        </is>
      </c>
      <c r="Q8" s="2" t="inlineStr"/>
    </row>
    <row r="9" ht="20" customHeight="1">
      <c r="A9" s="3" t="inlineStr">
        <is>
          <t>FIN-0008</t>
        </is>
      </c>
      <c r="B9" s="3" t="inlineStr">
        <is>
          <t>CC-002</t>
        </is>
      </c>
      <c r="C9" s="3" t="inlineStr">
        <is>
          <t>销售部</t>
        </is>
      </c>
      <c r="D9" s="3" t="inlineStr">
        <is>
          <t>市场推广</t>
        </is>
      </c>
      <c r="E9" s="3" t="inlineStr">
        <is>
          <t>活动与会议</t>
        </is>
      </c>
      <c r="F9" s="3" t="n">
        <v>2025</v>
      </c>
      <c r="G9" s="3" t="inlineStr">
        <is>
          <t>1月</t>
        </is>
      </c>
      <c r="H9" s="3" t="n">
        <v>108000</v>
      </c>
      <c r="I9" s="3" t="n">
        <v>102000</v>
      </c>
      <c r="J9" s="3">
        <f>I9-H9</f>
        <v/>
      </c>
      <c r="K9" s="3">
        <f>IFERROR((I9-H9)/H9*100,0)</f>
        <v/>
      </c>
      <c r="L9" s="3" t="n">
        <v>108000</v>
      </c>
      <c r="M9" s="3" t="n">
        <v>102408</v>
      </c>
      <c r="N9" s="3">
        <f>N9-M9</f>
        <v/>
      </c>
      <c r="O9" s="3">
        <f>IFERROR((N9-M9)/M9*100,0)</f>
        <v/>
      </c>
      <c r="P9" s="3" t="inlineStr">
        <is>
          <t>低于预算</t>
        </is>
      </c>
      <c r="Q9" s="3" t="inlineStr"/>
    </row>
    <row r="10" ht="20" customHeight="1">
      <c r="A10" s="2" t="inlineStr">
        <is>
          <t>FIN-0009</t>
        </is>
      </c>
      <c r="B10" s="2" t="inlineStr">
        <is>
          <t>CC-003</t>
        </is>
      </c>
      <c r="C10" s="2" t="inlineStr">
        <is>
          <t>市场部</t>
        </is>
      </c>
      <c r="D10" s="2" t="inlineStr">
        <is>
          <t>人员成本</t>
        </is>
      </c>
      <c r="E10" s="2" t="inlineStr">
        <is>
          <t>薪资</t>
        </is>
      </c>
      <c r="F10" s="2" t="n">
        <v>2025</v>
      </c>
      <c r="G10" s="2" t="inlineStr">
        <is>
          <t>1月</t>
        </is>
      </c>
      <c r="H10" s="2" t="n">
        <v>1330000</v>
      </c>
      <c r="I10" s="2" t="n">
        <v>1325000</v>
      </c>
      <c r="J10" s="2">
        <f>I10-H10</f>
        <v/>
      </c>
      <c r="K10" s="2">
        <f>IFERROR((I10-H10)/H10*100,0)</f>
        <v/>
      </c>
      <c r="L10" s="2" t="n">
        <v>1330000</v>
      </c>
      <c r="M10" s="2" t="n">
        <v>1340900</v>
      </c>
      <c r="N10" s="2">
        <f>N10-M10</f>
        <v/>
      </c>
      <c r="O10" s="2">
        <f>IFERROR((N10-M10)/M10*100,0)</f>
        <v/>
      </c>
      <c r="P10" s="2" t="inlineStr">
        <is>
          <t>正常</t>
        </is>
      </c>
      <c r="Q10" s="2" t="inlineStr"/>
    </row>
    <row r="11" ht="20" customHeight="1">
      <c r="A11" s="3" t="inlineStr">
        <is>
          <t>FIN-0010</t>
        </is>
      </c>
      <c r="B11" s="3" t="inlineStr">
        <is>
          <t>CC-003</t>
        </is>
      </c>
      <c r="C11" s="3" t="inlineStr">
        <is>
          <t>市场部</t>
        </is>
      </c>
      <c r="D11" s="3" t="inlineStr">
        <is>
          <t>市场推广</t>
        </is>
      </c>
      <c r="E11" s="3" t="inlineStr">
        <is>
          <t>数字广告</t>
        </is>
      </c>
      <c r="F11" s="3" t="n">
        <v>2025</v>
      </c>
      <c r="G11" s="3" t="inlineStr">
        <is>
          <t>1月</t>
        </is>
      </c>
      <c r="H11" s="3" t="n">
        <v>395000</v>
      </c>
      <c r="I11" s="3" t="n">
        <v>447000</v>
      </c>
      <c r="J11" s="3">
        <f>I11-H11</f>
        <v/>
      </c>
      <c r="K11" s="3">
        <f>IFERROR((I11-H11)/H11*100,0)</f>
        <v/>
      </c>
      <c r="L11" s="3" t="n">
        <v>395000</v>
      </c>
      <c r="M11" s="3" t="n">
        <v>438060</v>
      </c>
      <c r="N11" s="3">
        <f>N11-M11</f>
        <v/>
      </c>
      <c r="O11" s="3">
        <f>IFERROR((N11-M11)/M11*100,0)</f>
        <v/>
      </c>
      <c r="P11" s="3" t="inlineStr">
        <is>
          <t>超预算</t>
        </is>
      </c>
      <c r="Q11" s="3" t="inlineStr"/>
    </row>
    <row r="12" ht="20" customHeight="1">
      <c r="A12" s="2" t="inlineStr">
        <is>
          <t>FIN-0011</t>
        </is>
      </c>
      <c r="B12" s="2" t="inlineStr">
        <is>
          <t>CC-003</t>
        </is>
      </c>
      <c r="C12" s="2" t="inlineStr">
        <is>
          <t>市场部</t>
        </is>
      </c>
      <c r="D12" s="2" t="inlineStr">
        <is>
          <t>市场推广</t>
        </is>
      </c>
      <c r="E12" s="2" t="inlineStr">
        <is>
          <t>内容与创意</t>
        </is>
      </c>
      <c r="F12" s="2" t="n">
        <v>2025</v>
      </c>
      <c r="G12" s="2" t="inlineStr">
        <is>
          <t>1月</t>
        </is>
      </c>
      <c r="H12" s="2" t="n">
        <v>158000</v>
      </c>
      <c r="I12" s="2" t="n">
        <v>148000</v>
      </c>
      <c r="J12" s="2">
        <f>I12-H12</f>
        <v/>
      </c>
      <c r="K12" s="2">
        <f>IFERROR((I12-H12)/H12*100,0)</f>
        <v/>
      </c>
      <c r="L12" s="2" t="n">
        <v>158000</v>
      </c>
      <c r="M12" s="2" t="n">
        <v>146224</v>
      </c>
      <c r="N12" s="2">
        <f>N12-M12</f>
        <v/>
      </c>
      <c r="O12" s="2">
        <f>IFERROR((N12-M12)/M12*100,0)</f>
        <v/>
      </c>
      <c r="P12" s="2" t="inlineStr">
        <is>
          <t>低于预算</t>
        </is>
      </c>
      <c r="Q12" s="2" t="inlineStr"/>
    </row>
    <row r="13" ht="20" customHeight="1">
      <c r="A13" s="3" t="inlineStr">
        <is>
          <t>FIN-0012</t>
        </is>
      </c>
      <c r="B13" s="3" t="inlineStr">
        <is>
          <t>CC-003</t>
        </is>
      </c>
      <c r="C13" s="3" t="inlineStr">
        <is>
          <t>市场部</t>
        </is>
      </c>
      <c r="D13" s="3" t="inlineStr">
        <is>
          <t>运营成本</t>
        </is>
      </c>
      <c r="E13" s="3" t="inlineStr">
        <is>
          <t>营销技术栈</t>
        </is>
      </c>
      <c r="F13" s="3" t="n">
        <v>2025</v>
      </c>
      <c r="G13" s="3" t="inlineStr">
        <is>
          <t>1月</t>
        </is>
      </c>
      <c r="H13" s="3" t="n">
        <v>86000</v>
      </c>
      <c r="I13" s="3" t="n">
        <v>85000</v>
      </c>
      <c r="J13" s="3">
        <f>I13-H13</f>
        <v/>
      </c>
      <c r="K13" s="3">
        <f>IFERROR((I13-H13)/H13*100,0)</f>
        <v/>
      </c>
      <c r="L13" s="3" t="n">
        <v>86000</v>
      </c>
      <c r="M13" s="3" t="n">
        <v>84660</v>
      </c>
      <c r="N13" s="3">
        <f>N13-M13</f>
        <v/>
      </c>
      <c r="O13" s="3">
        <f>IFERROR((N13-M13)/M13*100,0)</f>
        <v/>
      </c>
      <c r="P13" s="3" t="inlineStr">
        <is>
          <t>正常</t>
        </is>
      </c>
      <c r="Q13" s="3" t="inlineStr"/>
    </row>
    <row r="14" ht="20" customHeight="1">
      <c r="A14" s="2" t="inlineStr">
        <is>
          <t>FIN-0013</t>
        </is>
      </c>
      <c r="B14" s="2" t="inlineStr">
        <is>
          <t>CC-004</t>
        </is>
      </c>
      <c r="C14" s="2" t="inlineStr">
        <is>
          <t>财务部</t>
        </is>
      </c>
      <c r="D14" s="2" t="inlineStr">
        <is>
          <t>人员成本</t>
        </is>
      </c>
      <c r="E14" s="2" t="inlineStr">
        <is>
          <t>薪资</t>
        </is>
      </c>
      <c r="F14" s="2" t="n">
        <v>2025</v>
      </c>
      <c r="G14" s="2" t="inlineStr">
        <is>
          <t>1月</t>
        </is>
      </c>
      <c r="H14" s="2" t="n">
        <v>1152000</v>
      </c>
      <c r="I14" s="2" t="n">
        <v>1145000</v>
      </c>
      <c r="J14" s="2">
        <f>I14-H14</f>
        <v/>
      </c>
      <c r="K14" s="2">
        <f>IFERROR((I14-H14)/H14*100,0)</f>
        <v/>
      </c>
      <c r="L14" s="2" t="n">
        <v>1152000</v>
      </c>
      <c r="M14" s="2" t="n">
        <v>1149580</v>
      </c>
      <c r="N14" s="2">
        <f>N14-M14</f>
        <v/>
      </c>
      <c r="O14" s="2">
        <f>IFERROR((N14-M14)/M14*100,0)</f>
        <v/>
      </c>
      <c r="P14" s="2" t="inlineStr">
        <is>
          <t>正常</t>
        </is>
      </c>
      <c r="Q14" s="2" t="inlineStr"/>
    </row>
    <row r="15" ht="20" customHeight="1">
      <c r="A15" s="3" t="inlineStr">
        <is>
          <t>FIN-0014</t>
        </is>
      </c>
      <c r="B15" s="3" t="inlineStr">
        <is>
          <t>CC-004</t>
        </is>
      </c>
      <c r="C15" s="3" t="inlineStr">
        <is>
          <t>财务部</t>
        </is>
      </c>
      <c r="D15" s="3" t="inlineStr">
        <is>
          <t>运营成本</t>
        </is>
      </c>
      <c r="E15" s="3" t="inlineStr">
        <is>
          <t>审计与合规</t>
        </is>
      </c>
      <c r="F15" s="3" t="n">
        <v>2025</v>
      </c>
      <c r="G15" s="3" t="inlineStr">
        <is>
          <t>1月</t>
        </is>
      </c>
      <c r="H15" s="3" t="n">
        <v>130000</v>
      </c>
      <c r="I15" s="3" t="n">
        <v>133000</v>
      </c>
      <c r="J15" s="3">
        <f>I15-H15</f>
        <v/>
      </c>
      <c r="K15" s="3">
        <f>IFERROR((I15-H15)/H15*100,0)</f>
        <v/>
      </c>
      <c r="L15" s="3" t="n">
        <v>130000</v>
      </c>
      <c r="M15" s="3" t="n">
        <v>134596</v>
      </c>
      <c r="N15" s="3">
        <f>N15-M15</f>
        <v/>
      </c>
      <c r="O15" s="3">
        <f>IFERROR((N15-M15)/M15*100,0)</f>
        <v/>
      </c>
      <c r="P15" s="3" t="inlineStr">
        <is>
          <t>正常</t>
        </is>
      </c>
      <c r="Q15" s="3" t="inlineStr"/>
    </row>
    <row r="16" ht="20" customHeight="1">
      <c r="A16" s="2" t="inlineStr">
        <is>
          <t>FIN-0015</t>
        </is>
      </c>
      <c r="B16" s="2" t="inlineStr">
        <is>
          <t>CC-004</t>
        </is>
      </c>
      <c r="C16" s="2" t="inlineStr">
        <is>
          <t>财务部</t>
        </is>
      </c>
      <c r="D16" s="2" t="inlineStr">
        <is>
          <t>运营成本</t>
        </is>
      </c>
      <c r="E16" s="2" t="inlineStr">
        <is>
          <t>财务系统</t>
        </is>
      </c>
      <c r="F16" s="2" t="n">
        <v>2025</v>
      </c>
      <c r="G16" s="2" t="inlineStr">
        <is>
          <t>1月</t>
        </is>
      </c>
      <c r="H16" s="2" t="n">
        <v>65000</v>
      </c>
      <c r="I16" s="2" t="n">
        <v>63000</v>
      </c>
      <c r="J16" s="2">
        <f>I16-H16</f>
        <v/>
      </c>
      <c r="K16" s="2">
        <f>IFERROR((I16-H16)/H16*100,0)</f>
        <v/>
      </c>
      <c r="L16" s="2" t="n">
        <v>65000</v>
      </c>
      <c r="M16" s="2" t="n">
        <v>61740</v>
      </c>
      <c r="N16" s="2">
        <f>N16-M16</f>
        <v/>
      </c>
      <c r="O16" s="2">
        <f>IFERROR((N16-M16)/M16*100,0)</f>
        <v/>
      </c>
      <c r="P16" s="2" t="inlineStr">
        <is>
          <t>正常</t>
        </is>
      </c>
      <c r="Q16" s="2" t="inlineStr"/>
    </row>
    <row r="17" ht="20" customHeight="1">
      <c r="A17" s="3" t="inlineStr">
        <is>
          <t>FIN-0016</t>
        </is>
      </c>
      <c r="B17" s="3" t="inlineStr">
        <is>
          <t>CC-005</t>
        </is>
      </c>
      <c r="C17" s="3" t="inlineStr">
        <is>
          <t>人力资源部</t>
        </is>
      </c>
      <c r="D17" s="3" t="inlineStr">
        <is>
          <t>人员成本</t>
        </is>
      </c>
      <c r="E17" s="3" t="inlineStr">
        <is>
          <t>薪资</t>
        </is>
      </c>
      <c r="F17" s="3" t="n">
        <v>2025</v>
      </c>
      <c r="G17" s="3" t="inlineStr">
        <is>
          <t>1月</t>
        </is>
      </c>
      <c r="H17" s="3" t="n">
        <v>1045000</v>
      </c>
      <c r="I17" s="3" t="n">
        <v>1041000</v>
      </c>
      <c r="J17" s="3">
        <f>I17-H17</f>
        <v/>
      </c>
      <c r="K17" s="3">
        <f>IFERROR((I17-H17)/H17*100,0)</f>
        <v/>
      </c>
      <c r="L17" s="3" t="n">
        <v>1045000</v>
      </c>
      <c r="M17" s="3" t="n">
        <v>1028508</v>
      </c>
      <c r="N17" s="3">
        <f>N17-M17</f>
        <v/>
      </c>
      <c r="O17" s="3">
        <f>IFERROR((N17-M17)/M17*100,0)</f>
        <v/>
      </c>
      <c r="P17" s="3" t="inlineStr">
        <is>
          <t>正常</t>
        </is>
      </c>
      <c r="Q17" s="3" t="inlineStr"/>
    </row>
    <row r="18" ht="20" customHeight="1">
      <c r="A18" s="2" t="inlineStr">
        <is>
          <t>FIN-0017</t>
        </is>
      </c>
      <c r="B18" s="2" t="inlineStr">
        <is>
          <t>CC-005</t>
        </is>
      </c>
      <c r="C18" s="2" t="inlineStr">
        <is>
          <t>人力资源部</t>
        </is>
      </c>
      <c r="D18" s="2" t="inlineStr">
        <is>
          <t>运营成本</t>
        </is>
      </c>
      <c r="E18" s="2" t="inlineStr">
        <is>
          <t>招聘</t>
        </is>
      </c>
      <c r="F18" s="2" t="n">
        <v>2025</v>
      </c>
      <c r="G18" s="2" t="inlineStr">
        <is>
          <t>1月</t>
        </is>
      </c>
      <c r="H18" s="2" t="n">
        <v>180000</v>
      </c>
      <c r="I18" s="2" t="n">
        <v>209000</v>
      </c>
      <c r="J18" s="2">
        <f>I18-H18</f>
        <v/>
      </c>
      <c r="K18" s="2">
        <f>IFERROR((I18-H18)/H18*100,0)</f>
        <v/>
      </c>
      <c r="L18" s="2" t="n">
        <v>180000</v>
      </c>
      <c r="M18" s="2" t="n">
        <v>208164</v>
      </c>
      <c r="N18" s="2">
        <f>N18-M18</f>
        <v/>
      </c>
      <c r="O18" s="2">
        <f>IFERROR((N18-M18)/M18*100,0)</f>
        <v/>
      </c>
      <c r="P18" s="2" t="inlineStr">
        <is>
          <t>超预算</t>
        </is>
      </c>
      <c r="Q18" s="2" t="inlineStr"/>
    </row>
    <row r="19" ht="20" customHeight="1">
      <c r="A19" s="3" t="inlineStr">
        <is>
          <t>FIN-0018</t>
        </is>
      </c>
      <c r="B19" s="3" t="inlineStr">
        <is>
          <t>CC-005</t>
        </is>
      </c>
      <c r="C19" s="3" t="inlineStr">
        <is>
          <t>人力资源部</t>
        </is>
      </c>
      <c r="D19" s="3" t="inlineStr">
        <is>
          <t>运营成本</t>
        </is>
      </c>
      <c r="E19" s="3" t="inlineStr">
        <is>
          <t>培训与发展</t>
        </is>
      </c>
      <c r="F19" s="3" t="n">
        <v>2025</v>
      </c>
      <c r="G19" s="3" t="inlineStr">
        <is>
          <t>1月</t>
        </is>
      </c>
      <c r="H19" s="3" t="n">
        <v>130000</v>
      </c>
      <c r="I19" s="3" t="n">
        <v>119000</v>
      </c>
      <c r="J19" s="3">
        <f>I19-H19</f>
        <v/>
      </c>
      <c r="K19" s="3">
        <f>IFERROR((I19-H19)/H19*100,0)</f>
        <v/>
      </c>
      <c r="L19" s="3" t="n">
        <v>130000</v>
      </c>
      <c r="M19" s="3" t="n">
        <v>119476</v>
      </c>
      <c r="N19" s="3">
        <f>N19-M19</f>
        <v/>
      </c>
      <c r="O19" s="3">
        <f>IFERROR((N19-M19)/M19*100,0)</f>
        <v/>
      </c>
      <c r="P19" s="3" t="inlineStr">
        <is>
          <t>低于预算</t>
        </is>
      </c>
      <c r="Q19" s="3" t="inlineStr"/>
    </row>
    <row r="20" ht="20" customHeight="1">
      <c r="A20" s="2" t="inlineStr">
        <is>
          <t>FIN-0019</t>
        </is>
      </c>
      <c r="B20" s="2" t="inlineStr">
        <is>
          <t>CC-006</t>
        </is>
      </c>
      <c r="C20" s="2" t="inlineStr">
        <is>
          <t>IT部</t>
        </is>
      </c>
      <c r="D20" s="2" t="inlineStr">
        <is>
          <t>人员成本</t>
        </is>
      </c>
      <c r="E20" s="2" t="inlineStr">
        <is>
          <t>薪资</t>
        </is>
      </c>
      <c r="F20" s="2" t="n">
        <v>2025</v>
      </c>
      <c r="G20" s="2" t="inlineStr">
        <is>
          <t>1月</t>
        </is>
      </c>
      <c r="H20" s="2" t="n">
        <v>1656000</v>
      </c>
      <c r="I20" s="2" t="n">
        <v>1650000</v>
      </c>
      <c r="J20" s="2">
        <f>I20-H20</f>
        <v/>
      </c>
      <c r="K20" s="2">
        <f>IFERROR((I20-H20)/H20*100,0)</f>
        <v/>
      </c>
      <c r="L20" s="2" t="n">
        <v>1656000</v>
      </c>
      <c r="M20" s="2" t="n">
        <v>1669800</v>
      </c>
      <c r="N20" s="2">
        <f>N20-M20</f>
        <v/>
      </c>
      <c r="O20" s="2">
        <f>IFERROR((N20-M20)/M20*100,0)</f>
        <v/>
      </c>
      <c r="P20" s="2" t="inlineStr">
        <is>
          <t>正常</t>
        </is>
      </c>
      <c r="Q20" s="2" t="inlineStr"/>
    </row>
    <row r="21" ht="20" customHeight="1">
      <c r="A21" s="3" t="inlineStr">
        <is>
          <t>FIN-0020</t>
        </is>
      </c>
      <c r="B21" s="3" t="inlineStr">
        <is>
          <t>CC-006</t>
        </is>
      </c>
      <c r="C21" s="3" t="inlineStr">
        <is>
          <t>IT部</t>
        </is>
      </c>
      <c r="D21" s="3" t="inlineStr">
        <is>
          <t>运营成本</t>
        </is>
      </c>
      <c r="E21" s="3" t="inlineStr">
        <is>
          <t>硬件与设备</t>
        </is>
      </c>
      <c r="F21" s="3" t="n">
        <v>2025</v>
      </c>
      <c r="G21" s="3" t="inlineStr">
        <is>
          <t>1月</t>
        </is>
      </c>
      <c r="H21" s="3" t="n">
        <v>288000</v>
      </c>
      <c r="I21" s="3" t="n">
        <v>277000</v>
      </c>
      <c r="J21" s="3">
        <f>I21-H21</f>
        <v/>
      </c>
      <c r="K21" s="3">
        <f>IFERROR((I21-H21)/H21*100,0)</f>
        <v/>
      </c>
      <c r="L21" s="3" t="n">
        <v>288000</v>
      </c>
      <c r="M21" s="3" t="n">
        <v>271460</v>
      </c>
      <c r="N21" s="3">
        <f>N21-M21</f>
        <v/>
      </c>
      <c r="O21" s="3">
        <f>IFERROR((N21-M21)/M21*100,0)</f>
        <v/>
      </c>
      <c r="P21" s="3" t="inlineStr">
        <is>
          <t>正常</t>
        </is>
      </c>
      <c r="Q21" s="3" t="inlineStr"/>
    </row>
    <row r="22" ht="20" customHeight="1">
      <c r="A22" s="2" t="inlineStr">
        <is>
          <t>FIN-0021</t>
        </is>
      </c>
      <c r="B22" s="2" t="inlineStr">
        <is>
          <t>CC-006</t>
        </is>
      </c>
      <c r="C22" s="2" t="inlineStr">
        <is>
          <t>IT部</t>
        </is>
      </c>
      <c r="D22" s="2" t="inlineStr">
        <is>
          <t>运营成本</t>
        </is>
      </c>
      <c r="E22" s="2" t="inlineStr">
        <is>
          <t>维护与支持</t>
        </is>
      </c>
      <c r="F22" s="2" t="n">
        <v>2025</v>
      </c>
      <c r="G22" s="2" t="inlineStr">
        <is>
          <t>1月</t>
        </is>
      </c>
      <c r="H22" s="2" t="n">
        <v>158000</v>
      </c>
      <c r="I22" s="2" t="n">
        <v>169000</v>
      </c>
      <c r="J22" s="2">
        <f>I22-H22</f>
        <v/>
      </c>
      <c r="K22" s="2">
        <f>IFERROR((I22-H22)/H22*100,0)</f>
        <v/>
      </c>
      <c r="L22" s="2" t="n">
        <v>158000</v>
      </c>
      <c r="M22" s="2" t="n">
        <v>166972</v>
      </c>
      <c r="N22" s="2">
        <f>N22-M22</f>
        <v/>
      </c>
      <c r="O22" s="2">
        <f>IFERROR((N22-M22)/M22*100,0)</f>
        <v/>
      </c>
      <c r="P22" s="2" t="inlineStr">
        <is>
          <t>超预算</t>
        </is>
      </c>
      <c r="Q22" s="2" t="inlineStr"/>
    </row>
    <row r="23" ht="20" customHeight="1">
      <c r="A23" s="3" t="inlineStr">
        <is>
          <t>FIN-0022</t>
        </is>
      </c>
      <c r="B23" s="3" t="inlineStr">
        <is>
          <t>CC-007</t>
        </is>
      </c>
      <c r="C23" s="3" t="inlineStr">
        <is>
          <t>研发部</t>
        </is>
      </c>
      <c r="D23" s="3" t="inlineStr">
        <is>
          <t>人员成本</t>
        </is>
      </c>
      <c r="E23" s="3" t="inlineStr">
        <is>
          <t>薪资</t>
        </is>
      </c>
      <c r="F23" s="3" t="n">
        <v>2025</v>
      </c>
      <c r="G23" s="3" t="inlineStr">
        <is>
          <t>1月</t>
        </is>
      </c>
      <c r="H23" s="3" t="n">
        <v>2016000</v>
      </c>
      <c r="I23" s="3" t="n">
        <v>2009000</v>
      </c>
      <c r="J23" s="3">
        <f>I23-H23</f>
        <v/>
      </c>
      <c r="K23" s="3">
        <f>IFERROR((I23-H23)/H23*100,0)</f>
        <v/>
      </c>
      <c r="L23" s="3" t="n">
        <v>2016000</v>
      </c>
      <c r="M23" s="3" t="n">
        <v>2000964</v>
      </c>
      <c r="N23" s="3">
        <f>N23-M23</f>
        <v/>
      </c>
      <c r="O23" s="3">
        <f>IFERROR((N23-M23)/M23*100,0)</f>
        <v/>
      </c>
      <c r="P23" s="3" t="inlineStr">
        <is>
          <t>正常</t>
        </is>
      </c>
      <c r="Q23" s="3" t="inlineStr"/>
    </row>
    <row r="24" ht="20" customHeight="1">
      <c r="A24" s="2" t="inlineStr">
        <is>
          <t>FIN-0023</t>
        </is>
      </c>
      <c r="B24" s="2" t="inlineStr">
        <is>
          <t>CC-007</t>
        </is>
      </c>
      <c r="C24" s="2" t="inlineStr">
        <is>
          <t>研发部</t>
        </is>
      </c>
      <c r="D24" s="2" t="inlineStr">
        <is>
          <t>运营成本</t>
        </is>
      </c>
      <c r="E24" s="2" t="inlineStr">
        <is>
          <t>实验室与设备</t>
        </is>
      </c>
      <c r="F24" s="2" t="n">
        <v>2025</v>
      </c>
      <c r="G24" s="2" t="inlineStr">
        <is>
          <t>1月</t>
        </is>
      </c>
      <c r="H24" s="2" t="n">
        <v>252000</v>
      </c>
      <c r="I24" s="2" t="n">
        <v>272000</v>
      </c>
      <c r="J24" s="2">
        <f>I24-H24</f>
        <v/>
      </c>
      <c r="K24" s="2">
        <f>IFERROR((I24-H24)/H24*100,0)</f>
        <v/>
      </c>
      <c r="L24" s="2" t="n">
        <v>252000</v>
      </c>
      <c r="M24" s="2" t="n">
        <v>273088</v>
      </c>
      <c r="N24" s="2">
        <f>N24-M24</f>
        <v/>
      </c>
      <c r="O24" s="2">
        <f>IFERROR((N24-M24)/M24*100,0)</f>
        <v/>
      </c>
      <c r="P24" s="2" t="inlineStr">
        <is>
          <t>超预算</t>
        </is>
      </c>
      <c r="Q24" s="2" t="inlineStr"/>
    </row>
    <row r="25" ht="20" customHeight="1">
      <c r="A25" s="3" t="inlineStr">
        <is>
          <t>FIN-0024</t>
        </is>
      </c>
      <c r="B25" s="3" t="inlineStr">
        <is>
          <t>CC-007</t>
        </is>
      </c>
      <c r="C25" s="3" t="inlineStr">
        <is>
          <t>研发部</t>
        </is>
      </c>
      <c r="D25" s="3" t="inlineStr">
        <is>
          <t>运营成本</t>
        </is>
      </c>
      <c r="E25" s="3" t="inlineStr">
        <is>
          <t>外部研究</t>
        </is>
      </c>
      <c r="F25" s="3" t="n">
        <v>2025</v>
      </c>
      <c r="G25" s="3" t="inlineStr">
        <is>
          <t>1月</t>
        </is>
      </c>
      <c r="H25" s="3" t="n">
        <v>144000</v>
      </c>
      <c r="I25" s="3" t="n">
        <v>130000</v>
      </c>
      <c r="J25" s="3">
        <f>I25-H25</f>
        <v/>
      </c>
      <c r="K25" s="3">
        <f>IFERROR((I25-H25)/H25*100,0)</f>
        <v/>
      </c>
      <c r="L25" s="3" t="n">
        <v>144000</v>
      </c>
      <c r="M25" s="3" t="n">
        <v>131560</v>
      </c>
      <c r="N25" s="3">
        <f>N25-M25</f>
        <v/>
      </c>
      <c r="O25" s="3">
        <f>IFERROR((N25-M25)/M25*100,0)</f>
        <v/>
      </c>
      <c r="P25" s="3" t="inlineStr">
        <is>
          <t>低于预算</t>
        </is>
      </c>
      <c r="Q25" s="3" t="inlineStr"/>
    </row>
    <row r="26" ht="20" customHeight="1">
      <c r="A26" s="2" t="inlineStr">
        <is>
          <t>FIN-0025</t>
        </is>
      </c>
      <c r="B26" s="2" t="inlineStr">
        <is>
          <t>CC-008</t>
        </is>
      </c>
      <c r="C26" s="2" t="inlineStr">
        <is>
          <t>客户成功部</t>
        </is>
      </c>
      <c r="D26" s="2" t="inlineStr">
        <is>
          <t>人员成本</t>
        </is>
      </c>
      <c r="E26" s="2" t="inlineStr">
        <is>
          <t>薪资</t>
        </is>
      </c>
      <c r="F26" s="2" t="n">
        <v>2025</v>
      </c>
      <c r="G26" s="2" t="inlineStr">
        <is>
          <t>1月</t>
        </is>
      </c>
      <c r="H26" s="2" t="n">
        <v>1404000</v>
      </c>
      <c r="I26" s="2" t="n">
        <v>1390000</v>
      </c>
      <c r="J26" s="2">
        <f>I26-H26</f>
        <v/>
      </c>
      <c r="K26" s="2">
        <f>IFERROR((I26-H26)/H26*100,0)</f>
        <v/>
      </c>
      <c r="L26" s="2" t="n">
        <v>1404000</v>
      </c>
      <c r="M26" s="2" t="n">
        <v>1362200</v>
      </c>
      <c r="N26" s="2">
        <f>N26-M26</f>
        <v/>
      </c>
      <c r="O26" s="2">
        <f>IFERROR((N26-M26)/M26*100,0)</f>
        <v/>
      </c>
      <c r="P26" s="2" t="inlineStr">
        <is>
          <t>正常</t>
        </is>
      </c>
      <c r="Q26" s="2" t="inlineStr"/>
    </row>
    <row r="27" ht="20" customHeight="1">
      <c r="A27" s="3" t="inlineStr">
        <is>
          <t>FIN-0026</t>
        </is>
      </c>
      <c r="B27" s="3" t="inlineStr">
        <is>
          <t>CC-008</t>
        </is>
      </c>
      <c r="C27" s="3" t="inlineStr">
        <is>
          <t>客户成功部</t>
        </is>
      </c>
      <c r="D27" s="3" t="inlineStr">
        <is>
          <t>运营成本</t>
        </is>
      </c>
      <c r="E27" s="3" t="inlineStr">
        <is>
          <t>支持工具</t>
        </is>
      </c>
      <c r="F27" s="3" t="n">
        <v>2025</v>
      </c>
      <c r="G27" s="3" t="inlineStr">
        <is>
          <t>1月</t>
        </is>
      </c>
      <c r="H27" s="3" t="n">
        <v>108000</v>
      </c>
      <c r="I27" s="3" t="n">
        <v>112000</v>
      </c>
      <c r="J27" s="3">
        <f>I27-H27</f>
        <v/>
      </c>
      <c r="K27" s="3">
        <f>IFERROR((I27-H27)/H27*100,0)</f>
        <v/>
      </c>
      <c r="L27" s="3" t="n">
        <v>108000</v>
      </c>
      <c r="M27" s="3" t="n">
        <v>110656</v>
      </c>
      <c r="N27" s="3">
        <f>N27-M27</f>
        <v/>
      </c>
      <c r="O27" s="3">
        <f>IFERROR((N27-M27)/M27*100,0)</f>
        <v/>
      </c>
      <c r="P27" s="3" t="inlineStr">
        <is>
          <t>正常</t>
        </is>
      </c>
      <c r="Q27" s="3" t="inlineStr"/>
    </row>
    <row r="28" ht="20" customHeight="1">
      <c r="A28" s="2" t="inlineStr">
        <is>
          <t>FIN-0027</t>
        </is>
      </c>
      <c r="B28" s="2" t="inlineStr">
        <is>
          <t>CC-009</t>
        </is>
      </c>
      <c r="C28" s="2" t="inlineStr">
        <is>
          <t>法务部</t>
        </is>
      </c>
      <c r="D28" s="2" t="inlineStr">
        <is>
          <t>人员成本</t>
        </is>
      </c>
      <c r="E28" s="2" t="inlineStr">
        <is>
          <t>薪资</t>
        </is>
      </c>
      <c r="F28" s="2" t="n">
        <v>2025</v>
      </c>
      <c r="G28" s="2" t="inlineStr">
        <is>
          <t>1月</t>
        </is>
      </c>
      <c r="H28" s="2" t="n">
        <v>936000</v>
      </c>
      <c r="I28" s="2" t="n">
        <v>936000</v>
      </c>
      <c r="J28" s="2">
        <f>I28-H28</f>
        <v/>
      </c>
      <c r="K28" s="2">
        <f>IFERROR((I28-H28)/H28*100,0)</f>
        <v/>
      </c>
      <c r="L28" s="2" t="n">
        <v>936000</v>
      </c>
      <c r="M28" s="2" t="n">
        <v>932256</v>
      </c>
      <c r="N28" s="2">
        <f>N28-M28</f>
        <v/>
      </c>
      <c r="O28" s="2">
        <f>IFERROR((N28-M28)/M28*100,0)</f>
        <v/>
      </c>
      <c r="P28" s="2" t="inlineStr">
        <is>
          <t>正常</t>
        </is>
      </c>
      <c r="Q28" s="2" t="inlineStr"/>
    </row>
    <row r="29" ht="20" customHeight="1">
      <c r="A29" s="3" t="inlineStr">
        <is>
          <t>FIN-0028</t>
        </is>
      </c>
      <c r="B29" s="3" t="inlineStr">
        <is>
          <t>CC-009</t>
        </is>
      </c>
      <c r="C29" s="3" t="inlineStr">
        <is>
          <t>法务部</t>
        </is>
      </c>
      <c r="D29" s="3" t="inlineStr">
        <is>
          <t>运营成本</t>
        </is>
      </c>
      <c r="E29" s="3" t="inlineStr">
        <is>
          <t>外部律师费</t>
        </is>
      </c>
      <c r="F29" s="3" t="n">
        <v>2025</v>
      </c>
      <c r="G29" s="3" t="inlineStr">
        <is>
          <t>1月</t>
        </is>
      </c>
      <c r="H29" s="3" t="n">
        <v>216000</v>
      </c>
      <c r="I29" s="3" t="n">
        <v>248000</v>
      </c>
      <c r="J29" s="3">
        <f>I29-H29</f>
        <v/>
      </c>
      <c r="K29" s="3">
        <f>IFERROR((I29-H29)/H29*100,0)</f>
        <v/>
      </c>
      <c r="L29" s="3" t="n">
        <v>216000</v>
      </c>
      <c r="M29" s="3" t="n">
        <v>248992</v>
      </c>
      <c r="N29" s="3">
        <f>N29-M29</f>
        <v/>
      </c>
      <c r="O29" s="3">
        <f>IFERROR((N29-M29)/M29*100,0)</f>
        <v/>
      </c>
      <c r="P29" s="3" t="inlineStr">
        <is>
          <t>超预算</t>
        </is>
      </c>
      <c r="Q29" s="3" t="inlineStr"/>
    </row>
    <row r="30" ht="20" customHeight="1">
      <c r="A30" s="2" t="inlineStr">
        <is>
          <t>FIN-0029</t>
        </is>
      </c>
      <c r="B30" s="2" t="inlineStr">
        <is>
          <t>CC-010</t>
        </is>
      </c>
      <c r="C30" s="2" t="inlineStr">
        <is>
          <t>运营部</t>
        </is>
      </c>
      <c r="D30" s="2" t="inlineStr">
        <is>
          <t>人员成本</t>
        </is>
      </c>
      <c r="E30" s="2" t="inlineStr">
        <is>
          <t>薪资</t>
        </is>
      </c>
      <c r="F30" s="2" t="n">
        <v>2025</v>
      </c>
      <c r="G30" s="2" t="inlineStr">
        <is>
          <t>1月</t>
        </is>
      </c>
      <c r="H30" s="2" t="n">
        <v>1260000</v>
      </c>
      <c r="I30" s="2" t="n">
        <v>1253000</v>
      </c>
      <c r="J30" s="2">
        <f>I30-H30</f>
        <v/>
      </c>
      <c r="K30" s="2">
        <f>IFERROR((I30-H30)/H30*100,0)</f>
        <v/>
      </c>
      <c r="L30" s="2" t="n">
        <v>1260000</v>
      </c>
      <c r="M30" s="2" t="n">
        <v>1268036</v>
      </c>
      <c r="N30" s="2">
        <f>N30-M30</f>
        <v/>
      </c>
      <c r="O30" s="2">
        <f>IFERROR((N30-M30)/M30*100,0)</f>
        <v/>
      </c>
      <c r="P30" s="2" t="inlineStr">
        <is>
          <t>正常</t>
        </is>
      </c>
      <c r="Q30" s="2" t="inlineStr"/>
    </row>
    <row r="31" ht="20" customHeight="1">
      <c r="A31" s="3" t="inlineStr">
        <is>
          <t>FIN-0030</t>
        </is>
      </c>
      <c r="B31" s="3" t="inlineStr">
        <is>
          <t>CC-010</t>
        </is>
      </c>
      <c r="C31" s="3" t="inlineStr">
        <is>
          <t>运营部</t>
        </is>
      </c>
      <c r="D31" s="3" t="inlineStr">
        <is>
          <t>运营成本</t>
        </is>
      </c>
      <c r="E31" s="3" t="inlineStr">
        <is>
          <t>设施与水电</t>
        </is>
      </c>
      <c r="F31" s="3" t="n">
        <v>2025</v>
      </c>
      <c r="G31" s="3" t="inlineStr">
        <is>
          <t>1月</t>
        </is>
      </c>
      <c r="H31" s="3" t="n">
        <v>202000</v>
      </c>
      <c r="I31" s="3" t="n">
        <v>198000</v>
      </c>
      <c r="J31" s="3">
        <f>I31-H31</f>
        <v/>
      </c>
      <c r="K31" s="3">
        <f>IFERROR((I31-H31)/H31*100,0)</f>
        <v/>
      </c>
      <c r="L31" s="3" t="n">
        <v>202000</v>
      </c>
      <c r="M31" s="3" t="n">
        <v>194040</v>
      </c>
      <c r="N31" s="3">
        <f>N31-M31</f>
        <v/>
      </c>
      <c r="O31" s="3">
        <f>IFERROR((N31-M31)/M31*100,0)</f>
        <v/>
      </c>
      <c r="P31" s="3" t="inlineStr">
        <is>
          <t>正常</t>
        </is>
      </c>
      <c r="Q31" s="3" t="inlineStr"/>
    </row>
    <row r="32" ht="20" customHeight="1">
      <c r="A32" s="2" t="inlineStr">
        <is>
          <t>FIN-0031</t>
        </is>
      </c>
      <c r="B32" s="2" t="inlineStr">
        <is>
          <t>CC-010</t>
        </is>
      </c>
      <c r="C32" s="2" t="inlineStr">
        <is>
          <t>运营部</t>
        </is>
      </c>
      <c r="D32" s="2" t="inlineStr">
        <is>
          <t>运营成本</t>
        </is>
      </c>
      <c r="E32" s="2" t="inlineStr">
        <is>
          <t>物流与供应</t>
        </is>
      </c>
      <c r="F32" s="2" t="n">
        <v>2025</v>
      </c>
      <c r="G32" s="2" t="inlineStr">
        <is>
          <t>1月</t>
        </is>
      </c>
      <c r="H32" s="2" t="n">
        <v>324000</v>
      </c>
      <c r="I32" s="2" t="n">
        <v>346000</v>
      </c>
      <c r="J32" s="2">
        <f>I32-H32</f>
        <v/>
      </c>
      <c r="K32" s="2">
        <f>IFERROR((I32-H32)/H32*100,0)</f>
        <v/>
      </c>
      <c r="L32" s="2" t="n">
        <v>324000</v>
      </c>
      <c r="M32" s="2" t="n">
        <v>341848</v>
      </c>
      <c r="N32" s="2">
        <f>N32-M32</f>
        <v/>
      </c>
      <c r="O32" s="2">
        <f>IFERROR((N32-M32)/M32*100,0)</f>
        <v/>
      </c>
      <c r="P32" s="2" t="inlineStr">
        <is>
          <t>超预算</t>
        </is>
      </c>
      <c r="Q32" s="2" t="inlineStr"/>
    </row>
    <row r="33" ht="20" customHeight="1">
      <c r="A33" s="3" t="inlineStr">
        <is>
          <t>FIN-0032</t>
        </is>
      </c>
      <c r="B33" s="3" t="inlineStr">
        <is>
          <t>CC-001</t>
        </is>
      </c>
      <c r="C33" s="3" t="inlineStr">
        <is>
          <t>工程部</t>
        </is>
      </c>
      <c r="D33" s="3" t="inlineStr">
        <is>
          <t>人员成本</t>
        </is>
      </c>
      <c r="E33" s="3" t="inlineStr">
        <is>
          <t>薪资</t>
        </is>
      </c>
      <c r="F33" s="3" t="n">
        <v>2025</v>
      </c>
      <c r="G33" s="3" t="inlineStr">
        <is>
          <t>2月</t>
        </is>
      </c>
      <c r="H33" s="3" t="n">
        <v>3025000</v>
      </c>
      <c r="I33" s="3" t="n">
        <v>3032000</v>
      </c>
      <c r="J33" s="3">
        <f>I33-H33</f>
        <v/>
      </c>
      <c r="K33" s="3">
        <f>IFERROR((I33-H33)/H33*100,0)</f>
        <v/>
      </c>
      <c r="L33" s="3" t="n">
        <v>6050000</v>
      </c>
      <c r="M33" s="3" t="n">
        <v>6039744</v>
      </c>
      <c r="N33" s="3">
        <f>N33-M33</f>
        <v/>
      </c>
      <c r="O33" s="3">
        <f>IFERROR((N33-M33)/M33*100,0)</f>
        <v/>
      </c>
      <c r="P33" s="3" t="inlineStr">
        <is>
          <t>正常</t>
        </is>
      </c>
      <c r="Q33" s="3" t="inlineStr"/>
    </row>
    <row r="34" ht="20" customHeight="1">
      <c r="A34" s="2" t="inlineStr">
        <is>
          <t>FIN-0033</t>
        </is>
      </c>
      <c r="B34" s="2" t="inlineStr">
        <is>
          <t>CC-001</t>
        </is>
      </c>
      <c r="C34" s="2" t="inlineStr">
        <is>
          <t>工程部</t>
        </is>
      </c>
      <c r="D34" s="2" t="inlineStr">
        <is>
          <t>运营成本</t>
        </is>
      </c>
      <c r="E34" s="2" t="inlineStr">
        <is>
          <t>云基础设施</t>
        </is>
      </c>
      <c r="F34" s="2" t="n">
        <v>2025</v>
      </c>
      <c r="G34" s="2" t="inlineStr">
        <is>
          <t>2月</t>
        </is>
      </c>
      <c r="H34" s="2" t="n">
        <v>230000</v>
      </c>
      <c r="I34" s="2" t="n">
        <v>246000</v>
      </c>
      <c r="J34" s="2">
        <f>I34-H34</f>
        <v/>
      </c>
      <c r="K34" s="2">
        <f>IFERROR((I34-H34)/H34*100,0)</f>
        <v/>
      </c>
      <c r="L34" s="2" t="n">
        <v>460000</v>
      </c>
      <c r="M34" s="2" t="n">
        <v>493968</v>
      </c>
      <c r="N34" s="2">
        <f>N34-M34</f>
        <v/>
      </c>
      <c r="O34" s="2">
        <f>IFERROR((N34-M34)/M34*100,0)</f>
        <v/>
      </c>
      <c r="P34" s="2" t="inlineStr">
        <is>
          <t>超预算</t>
        </is>
      </c>
      <c r="Q34" s="2" t="inlineStr"/>
    </row>
    <row r="35" ht="20" customHeight="1">
      <c r="A35" s="3" t="inlineStr">
        <is>
          <t>FIN-0034</t>
        </is>
      </c>
      <c r="B35" s="3" t="inlineStr">
        <is>
          <t>CC-002</t>
        </is>
      </c>
      <c r="C35" s="3" t="inlineStr">
        <is>
          <t>销售部</t>
        </is>
      </c>
      <c r="D35" s="3" t="inlineStr">
        <is>
          <t>人员成本</t>
        </is>
      </c>
      <c r="E35" s="3" t="inlineStr">
        <is>
          <t>销售提成</t>
        </is>
      </c>
      <c r="F35" s="3" t="n">
        <v>2025</v>
      </c>
      <c r="G35" s="3" t="inlineStr">
        <is>
          <t>2月</t>
        </is>
      </c>
      <c r="H35" s="3" t="n">
        <v>685000</v>
      </c>
      <c r="I35" s="3" t="n">
        <v>781000</v>
      </c>
      <c r="J35" s="3">
        <f>I35-H35</f>
        <v/>
      </c>
      <c r="K35" s="3">
        <f>IFERROR((I35-H35)/H35*100,0)</f>
        <v/>
      </c>
      <c r="L35" s="3" t="n">
        <v>1370000</v>
      </c>
      <c r="M35" s="3" t="n">
        <v>1580744</v>
      </c>
      <c r="N35" s="3">
        <f>N35-M35</f>
        <v/>
      </c>
      <c r="O35" s="3">
        <f>IFERROR((N35-M35)/M35*100,0)</f>
        <v/>
      </c>
      <c r="P35" s="3" t="inlineStr">
        <is>
          <t>超预算</t>
        </is>
      </c>
      <c r="Q35" s="3" t="inlineStr"/>
    </row>
    <row r="36" ht="20" customHeight="1">
      <c r="A36" s="2" t="inlineStr">
        <is>
          <t>FIN-0035</t>
        </is>
      </c>
      <c r="B36" s="2" t="inlineStr">
        <is>
          <t>CC-002</t>
        </is>
      </c>
      <c r="C36" s="2" t="inlineStr">
        <is>
          <t>销售部</t>
        </is>
      </c>
      <c r="D36" s="2" t="inlineStr">
        <is>
          <t>市场推广</t>
        </is>
      </c>
      <c r="E36" s="2" t="inlineStr">
        <is>
          <t>差旅与招待</t>
        </is>
      </c>
      <c r="F36" s="2" t="n">
        <v>2025</v>
      </c>
      <c r="G36" s="2" t="inlineStr">
        <is>
          <t>2月</t>
        </is>
      </c>
      <c r="H36" s="2" t="n">
        <v>200000</v>
      </c>
      <c r="I36" s="2" t="n">
        <v>191000</v>
      </c>
      <c r="J36" s="2">
        <f>I36-H36</f>
        <v/>
      </c>
      <c r="K36" s="2">
        <f>IFERROR((I36-H36)/H36*100,0)</f>
        <v/>
      </c>
      <c r="L36" s="2" t="n">
        <v>400000</v>
      </c>
      <c r="M36" s="2" t="n">
        <v>374360</v>
      </c>
      <c r="N36" s="2">
        <f>N36-M36</f>
        <v/>
      </c>
      <c r="O36" s="2">
        <f>IFERROR((N36-M36)/M36*100,0)</f>
        <v/>
      </c>
      <c r="P36" s="2" t="inlineStr">
        <is>
          <t>正常</t>
        </is>
      </c>
      <c r="Q36" s="2" t="inlineStr"/>
    </row>
    <row r="37" ht="20" customHeight="1">
      <c r="A37" s="3" t="inlineStr">
        <is>
          <t>FIN-0036</t>
        </is>
      </c>
      <c r="B37" s="3" t="inlineStr">
        <is>
          <t>CC-003</t>
        </is>
      </c>
      <c r="C37" s="3" t="inlineStr">
        <is>
          <t>市场部</t>
        </is>
      </c>
      <c r="D37" s="3" t="inlineStr">
        <is>
          <t>市场推广</t>
        </is>
      </c>
      <c r="E37" s="3" t="inlineStr">
        <is>
          <t>数字广告</t>
        </is>
      </c>
      <c r="F37" s="3" t="n">
        <v>2025</v>
      </c>
      <c r="G37" s="3" t="inlineStr">
        <is>
          <t>2月</t>
        </is>
      </c>
      <c r="H37" s="3" t="n">
        <v>395000</v>
      </c>
      <c r="I37" s="3" t="n">
        <v>418000</v>
      </c>
      <c r="J37" s="3">
        <f>I37-H37</f>
        <v/>
      </c>
      <c r="K37" s="3">
        <f>IFERROR((I37-H37)/H37*100,0)</f>
        <v/>
      </c>
      <c r="L37" s="3" t="n">
        <v>790000</v>
      </c>
      <c r="M37" s="3" t="n">
        <v>825968</v>
      </c>
      <c r="N37" s="3">
        <f>N37-M37</f>
        <v/>
      </c>
      <c r="O37" s="3">
        <f>IFERROR((N37-M37)/M37*100,0)</f>
        <v/>
      </c>
      <c r="P37" s="3" t="inlineStr">
        <is>
          <t>超预算</t>
        </is>
      </c>
      <c r="Q37" s="3" t="inlineStr"/>
    </row>
    <row r="38" ht="20" customHeight="1">
      <c r="A38" s="2" t="inlineStr">
        <is>
          <t>FIN-0037</t>
        </is>
      </c>
      <c r="B38" s="2" t="inlineStr">
        <is>
          <t>CC-004</t>
        </is>
      </c>
      <c r="C38" s="2" t="inlineStr">
        <is>
          <t>财务部</t>
        </is>
      </c>
      <c r="D38" s="2" t="inlineStr">
        <is>
          <t>运营成本</t>
        </is>
      </c>
      <c r="E38" s="2" t="inlineStr">
        <is>
          <t>审计与合规</t>
        </is>
      </c>
      <c r="F38" s="2" t="n">
        <v>2025</v>
      </c>
      <c r="G38" s="2" t="inlineStr">
        <is>
          <t>2月</t>
        </is>
      </c>
      <c r="H38" s="2" t="n">
        <v>130000</v>
      </c>
      <c r="I38" s="2" t="n">
        <v>126000</v>
      </c>
      <c r="J38" s="2">
        <f>I38-H38</f>
        <v/>
      </c>
      <c r="K38" s="2">
        <f>IFERROR((I38-H38)/H38*100,0)</f>
        <v/>
      </c>
      <c r="L38" s="2" t="n">
        <v>260000</v>
      </c>
      <c r="M38" s="2" t="n">
        <v>250992</v>
      </c>
      <c r="N38" s="2">
        <f>N38-M38</f>
        <v/>
      </c>
      <c r="O38" s="2">
        <f>IFERROR((N38-M38)/M38*100,0)</f>
        <v/>
      </c>
      <c r="P38" s="2" t="inlineStr">
        <is>
          <t>正常</t>
        </is>
      </c>
      <c r="Q38" s="2" t="inlineStr"/>
    </row>
    <row r="39" ht="20" customHeight="1">
      <c r="A39" s="3" t="inlineStr">
        <is>
          <t>FIN-0038</t>
        </is>
      </c>
      <c r="B39" s="3" t="inlineStr">
        <is>
          <t>CC-005</t>
        </is>
      </c>
      <c r="C39" s="3" t="inlineStr">
        <is>
          <t>人力资源部</t>
        </is>
      </c>
      <c r="D39" s="3" t="inlineStr">
        <is>
          <t>运营成本</t>
        </is>
      </c>
      <c r="E39" s="3" t="inlineStr">
        <is>
          <t>招聘</t>
        </is>
      </c>
      <c r="F39" s="3" t="n">
        <v>2025</v>
      </c>
      <c r="G39" s="3" t="inlineStr">
        <is>
          <t>2月</t>
        </is>
      </c>
      <c r="H39" s="3" t="n">
        <v>180000</v>
      </c>
      <c r="I39" s="3" t="n">
        <v>158000</v>
      </c>
      <c r="J39" s="3">
        <f>I39-H39</f>
        <v/>
      </c>
      <c r="K39" s="3">
        <f>IFERROR((I39-H39)/H39*100,0)</f>
        <v/>
      </c>
      <c r="L39" s="3" t="n">
        <v>360000</v>
      </c>
      <c r="M39" s="3" t="n">
        <v>317264</v>
      </c>
      <c r="N39" s="3">
        <f>N39-M39</f>
        <v/>
      </c>
      <c r="O39" s="3">
        <f>IFERROR((N39-M39)/M39*100,0)</f>
        <v/>
      </c>
      <c r="P39" s="3" t="inlineStr">
        <is>
          <t>低于预算</t>
        </is>
      </c>
      <c r="Q39" s="3" t="inlineStr"/>
    </row>
    <row r="40" ht="20" customHeight="1">
      <c r="A40" s="2" t="inlineStr">
        <is>
          <t>FIN-0039</t>
        </is>
      </c>
      <c r="B40" s="2" t="inlineStr">
        <is>
          <t>CC-006</t>
        </is>
      </c>
      <c r="C40" s="2" t="inlineStr">
        <is>
          <t>IT部</t>
        </is>
      </c>
      <c r="D40" s="2" t="inlineStr">
        <is>
          <t>运营成本</t>
        </is>
      </c>
      <c r="E40" s="2" t="inlineStr">
        <is>
          <t>硬件与设备</t>
        </is>
      </c>
      <c r="F40" s="2" t="n">
        <v>2025</v>
      </c>
      <c r="G40" s="2" t="inlineStr">
        <is>
          <t>2月</t>
        </is>
      </c>
      <c r="H40" s="2" t="n">
        <v>288000</v>
      </c>
      <c r="I40" s="2" t="n">
        <v>302000</v>
      </c>
      <c r="J40" s="2">
        <f>I40-H40</f>
        <v/>
      </c>
      <c r="K40" s="2">
        <f>IFERROR((I40-H40)/H40*100,0)</f>
        <v/>
      </c>
      <c r="L40" s="2" t="n">
        <v>576000</v>
      </c>
      <c r="M40" s="2" t="n">
        <v>611248</v>
      </c>
      <c r="N40" s="2">
        <f>N40-M40</f>
        <v/>
      </c>
      <c r="O40" s="2">
        <f>IFERROR((N40-M40)/M40*100,0)</f>
        <v/>
      </c>
      <c r="P40" s="2" t="inlineStr">
        <is>
          <t>正常</t>
        </is>
      </c>
      <c r="Q40" s="2" t="inlineStr"/>
    </row>
    <row r="41" ht="20" customHeight="1">
      <c r="A41" s="3" t="inlineStr">
        <is>
          <t>FIN-0040</t>
        </is>
      </c>
      <c r="B41" s="3" t="inlineStr">
        <is>
          <t>CC-007</t>
        </is>
      </c>
      <c r="C41" s="3" t="inlineStr">
        <is>
          <t>研发部</t>
        </is>
      </c>
      <c r="D41" s="3" t="inlineStr">
        <is>
          <t>运营成本</t>
        </is>
      </c>
      <c r="E41" s="3" t="inlineStr">
        <is>
          <t>实验室与设备</t>
        </is>
      </c>
      <c r="F41" s="3" t="n">
        <v>2025</v>
      </c>
      <c r="G41" s="3" t="inlineStr">
        <is>
          <t>2月</t>
        </is>
      </c>
      <c r="H41" s="3" t="n">
        <v>252000</v>
      </c>
      <c r="I41" s="3" t="n">
        <v>263000</v>
      </c>
      <c r="J41" s="3">
        <f>I41-H41</f>
        <v/>
      </c>
      <c r="K41" s="3">
        <f>IFERROR((I41-H41)/H41*100,0)</f>
        <v/>
      </c>
      <c r="L41" s="3" t="n">
        <v>504000</v>
      </c>
      <c r="M41" s="3" t="n">
        <v>515480</v>
      </c>
      <c r="N41" s="3">
        <f>N41-M41</f>
        <v/>
      </c>
      <c r="O41" s="3">
        <f>IFERROR((N41-M41)/M41*100,0)</f>
        <v/>
      </c>
      <c r="P41" s="3" t="inlineStr">
        <is>
          <t>正常</t>
        </is>
      </c>
      <c r="Q41" s="3" t="inlineStr"/>
    </row>
    <row r="42" ht="20" customHeight="1">
      <c r="A42" s="2" t="inlineStr">
        <is>
          <t>FIN-0041</t>
        </is>
      </c>
      <c r="B42" s="2" t="inlineStr">
        <is>
          <t>CC-008</t>
        </is>
      </c>
      <c r="C42" s="2" t="inlineStr">
        <is>
          <t>客户成功部</t>
        </is>
      </c>
      <c r="D42" s="2" t="inlineStr">
        <is>
          <t>人员成本</t>
        </is>
      </c>
      <c r="E42" s="2" t="inlineStr">
        <is>
          <t>薪资</t>
        </is>
      </c>
      <c r="F42" s="2" t="n">
        <v>2025</v>
      </c>
      <c r="G42" s="2" t="inlineStr">
        <is>
          <t>2月</t>
        </is>
      </c>
      <c r="H42" s="2" t="n">
        <v>1404000</v>
      </c>
      <c r="I42" s="2" t="n">
        <v>1414000</v>
      </c>
      <c r="J42" s="2">
        <f>I42-H42</f>
        <v/>
      </c>
      <c r="K42" s="2">
        <f>IFERROR((I42-H42)/H42*100,0)</f>
        <v/>
      </c>
      <c r="L42" s="2" t="n">
        <v>2808000</v>
      </c>
      <c r="M42" s="2" t="n">
        <v>2794064</v>
      </c>
      <c r="N42" s="2">
        <f>N42-M42</f>
        <v/>
      </c>
      <c r="O42" s="2">
        <f>IFERROR((N42-M42)/M42*100,0)</f>
        <v/>
      </c>
      <c r="P42" s="2" t="inlineStr">
        <is>
          <t>正常</t>
        </is>
      </c>
      <c r="Q42" s="2" t="inlineStr"/>
    </row>
    <row r="43" ht="20" customHeight="1">
      <c r="A43" s="3" t="inlineStr">
        <is>
          <t>FIN-0042</t>
        </is>
      </c>
      <c r="B43" s="3" t="inlineStr">
        <is>
          <t>CC-009</t>
        </is>
      </c>
      <c r="C43" s="3" t="inlineStr">
        <is>
          <t>法务部</t>
        </is>
      </c>
      <c r="D43" s="3" t="inlineStr">
        <is>
          <t>运营成本</t>
        </is>
      </c>
      <c r="E43" s="3" t="inlineStr">
        <is>
          <t>外部律师费</t>
        </is>
      </c>
      <c r="F43" s="3" t="n">
        <v>2025</v>
      </c>
      <c r="G43" s="3" t="inlineStr">
        <is>
          <t>2月</t>
        </is>
      </c>
      <c r="H43" s="3" t="n">
        <v>216000</v>
      </c>
      <c r="I43" s="3" t="n">
        <v>202000</v>
      </c>
      <c r="J43" s="3">
        <f>I43-H43</f>
        <v/>
      </c>
      <c r="K43" s="3">
        <f>IFERROR((I43-H43)/H43*100,0)</f>
        <v/>
      </c>
      <c r="L43" s="3" t="n">
        <v>432000</v>
      </c>
      <c r="M43" s="3" t="n">
        <v>402384</v>
      </c>
      <c r="N43" s="3">
        <f>N43-M43</f>
        <v/>
      </c>
      <c r="O43" s="3">
        <f>IFERROR((N43-M43)/M43*100,0)</f>
        <v/>
      </c>
      <c r="P43" s="3" t="inlineStr">
        <is>
          <t>低于预算</t>
        </is>
      </c>
      <c r="Q43" s="3" t="inlineStr"/>
    </row>
    <row r="44" ht="20" customHeight="1">
      <c r="A44" s="2" t="inlineStr">
        <is>
          <t>FIN-0043</t>
        </is>
      </c>
      <c r="B44" s="2" t="inlineStr">
        <is>
          <t>CC-010</t>
        </is>
      </c>
      <c r="C44" s="2" t="inlineStr">
        <is>
          <t>运营部</t>
        </is>
      </c>
      <c r="D44" s="2" t="inlineStr">
        <is>
          <t>运营成本</t>
        </is>
      </c>
      <c r="E44" s="2" t="inlineStr">
        <is>
          <t>物流与供应</t>
        </is>
      </c>
      <c r="F44" s="2" t="n">
        <v>2025</v>
      </c>
      <c r="G44" s="2" t="inlineStr">
        <is>
          <t>2月</t>
        </is>
      </c>
      <c r="H44" s="2" t="n">
        <v>324000</v>
      </c>
      <c r="I44" s="2" t="n">
        <v>335000</v>
      </c>
      <c r="J44" s="2">
        <f>I44-H44</f>
        <v/>
      </c>
      <c r="K44" s="2">
        <f>IFERROR((I44-H44)/H44*100,0)</f>
        <v/>
      </c>
      <c r="L44" s="2" t="n">
        <v>648000</v>
      </c>
      <c r="M44" s="2" t="n">
        <v>672680</v>
      </c>
      <c r="N44" s="2">
        <f>N44-M44</f>
        <v/>
      </c>
      <c r="O44" s="2">
        <f>IFERROR((N44-M44)/M44*100,0)</f>
        <v/>
      </c>
      <c r="P44" s="2" t="inlineStr">
        <is>
          <t>正常</t>
        </is>
      </c>
      <c r="Q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记录总数</t>
        </is>
      </c>
      <c r="B2" s="2">
        <f>COUNTA('预算与实际对比'!A2:A45)</f>
        <v/>
      </c>
    </row>
    <row r="3">
      <c r="A3" s="3" t="inlineStr">
        <is>
          <t>预算合计（元）</t>
        </is>
      </c>
      <c r="B3" s="3">
        <f>SUM('预算与实际对比'!H2:H45)</f>
        <v/>
      </c>
    </row>
    <row r="4">
      <c r="A4" s="2" t="inlineStr">
        <is>
          <t>实际支出合计（元）</t>
        </is>
      </c>
      <c r="B4" s="2">
        <f>SUM('预算与实际对比'!I2:I45)</f>
        <v/>
      </c>
    </row>
    <row r="5">
      <c r="A5" s="3" t="inlineStr">
        <is>
          <t>差异额合计（元）</t>
        </is>
      </c>
      <c r="B5" s="3">
        <f>B4-B3</f>
        <v/>
      </c>
    </row>
    <row r="6">
      <c r="A6" s="2" t="inlineStr">
        <is>
          <t>整体差异率（%）</t>
        </is>
      </c>
      <c r="B6" s="2">
        <f>IFERROR(B5/B3*100,0)</f>
        <v/>
      </c>
    </row>
    <row r="7">
      <c r="A7" s="3" t="inlineStr">
        <is>
          <t>超预算条目数</t>
        </is>
      </c>
      <c r="B7" s="3">
        <f>COUNTIF('预算与实际对比'!P2:P45,"超预算")</f>
        <v/>
      </c>
    </row>
    <row r="8">
      <c r="A8" s="2" t="inlineStr">
        <is>
          <t>正常条目数</t>
        </is>
      </c>
      <c r="B8" s="2">
        <f>COUNTIF('预算与实际对比'!P2:P45,"正常")</f>
        <v/>
      </c>
    </row>
    <row r="9">
      <c r="A9" s="3" t="inlineStr">
        <is>
          <t>低于预算条目数</t>
        </is>
      </c>
      <c r="B9" s="3">
        <f>COUNTIF('预算与实际对比'!P2:P45,"低于预算")</f>
        <v/>
      </c>
    </row>
    <row r="10">
      <c r="A10" s="2" t="inlineStr">
        <is>
          <t>年初至今预算合计（元）</t>
        </is>
      </c>
      <c r="B10" s="2">
        <f>SUM('预算与实际对比'!L2:L45)</f>
        <v/>
      </c>
    </row>
    <row r="11">
      <c r="A11" s="3" t="inlineStr">
        <is>
          <t>年初至今实际合计（元）</t>
        </is>
      </c>
      <c r="B11" s="3">
        <f>SUM('预算与实际对比'!M2:M45)</f>
        <v/>
      </c>
    </row>
    <row r="12">
      <c r="A12" s="2" t="inlineStr">
        <is>
          <t>年初至今差异额合计（元）</t>
        </is>
      </c>
      <c r="B12" s="2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2026-05-11T07:31:44Z</dcterms:created>
  <dcterms:modified xmlns:dcterms="http://purl.org/dc/terms/" xmlns:xsi="http://www.w3.org/2001/XMLSchema-instance" xsi:type="dcterms:W3CDTF">2026-05-11T07:31:44Z</dcterms:modified>
</cp:coreProperties>
</file>