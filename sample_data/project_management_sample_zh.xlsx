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跟踪表" sheetId="1" state="visible" r:id="rId1"/>
    <sheet xmlns:r="http://schemas.openxmlformats.org/officeDocument/2006/relationships" name="汇总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10" customWidth="1" min="17" max="17"/>
    <col width="24" customWidth="1" min="18" max="18"/>
    <col width="10" customWidth="1" min="19" max="19"/>
    <col width="24" customWidth="1" min="20" max="20"/>
  </cols>
  <sheetData>
    <row r="1" ht="32" customHeight="1">
      <c r="A1" s="1" t="inlineStr">
        <is>
          <t>项目编号</t>
        </is>
      </c>
      <c r="B1" s="1" t="inlineStr">
        <is>
          <t>项目名称</t>
        </is>
      </c>
      <c r="C1" s="1" t="inlineStr">
        <is>
          <t>项目经理</t>
        </is>
      </c>
      <c r="D1" s="1" t="inlineStr">
        <is>
          <t>所属部门</t>
        </is>
      </c>
      <c r="E1" s="1" t="inlineStr">
        <is>
          <t>项目状态</t>
        </is>
      </c>
      <c r="F1" s="1" t="inlineStr">
        <is>
          <t>优先级</t>
        </is>
      </c>
      <c r="G1" s="1" t="inlineStr">
        <is>
          <t>开始日期</t>
        </is>
      </c>
      <c r="H1" s="1" t="inlineStr">
        <is>
          <t>截止日期</t>
        </is>
      </c>
      <c r="I1" s="1" t="inlineStr">
        <is>
          <t>预算（元）</t>
        </is>
      </c>
      <c r="J1" s="1" t="inlineStr">
        <is>
          <t>实际支出（元）</t>
        </is>
      </c>
      <c r="K1" s="1" t="inlineStr">
        <is>
          <t>预算使用率（%）</t>
        </is>
      </c>
      <c r="L1" s="1" t="inlineStr">
        <is>
          <t>当前冲刺</t>
        </is>
      </c>
      <c r="M1" s="1" t="inlineStr">
        <is>
          <t>冲刺速度</t>
        </is>
      </c>
      <c r="N1" s="1" t="inlineStr">
        <is>
          <t>任务总数</t>
        </is>
      </c>
      <c r="O1" s="1" t="inlineStr">
        <is>
          <t>已完成任务</t>
        </is>
      </c>
      <c r="P1" s="1" t="inlineStr">
        <is>
          <t>任务完成率（%）</t>
        </is>
      </c>
      <c r="Q1" s="1" t="inlineStr">
        <is>
          <t>风险等级</t>
        </is>
      </c>
      <c r="R1" s="1" t="inlineStr">
        <is>
          <t>风险描述</t>
        </is>
      </c>
      <c r="S1" s="1" t="inlineStr">
        <is>
          <t>资源人数</t>
        </is>
      </c>
      <c r="T1" s="1" t="inlineStr">
        <is>
          <t>里程碑</t>
        </is>
      </c>
    </row>
    <row r="2" ht="20" customHeight="1">
      <c r="A2" s="2" t="inlineStr">
        <is>
          <t>PRJ-001</t>
        </is>
      </c>
      <c r="B2" s="2" t="inlineStr">
        <is>
          <t>AI对话平台</t>
        </is>
      </c>
      <c r="C2" s="2" t="inlineStr">
        <is>
          <t>陈晓雪</t>
        </is>
      </c>
      <c r="D2" s="2" t="inlineStr">
        <is>
          <t>产品部</t>
        </is>
      </c>
      <c r="E2" s="2" t="inlineStr">
        <is>
          <t>正常推进</t>
        </is>
      </c>
      <c r="F2" s="2" t="inlineStr">
        <is>
          <t>高</t>
        </is>
      </c>
      <c r="G2" s="2" t="inlineStr">
        <is>
          <t>2025-01-06</t>
        </is>
      </c>
      <c r="H2" s="2" t="inlineStr">
        <is>
          <t>2025-06-30</t>
        </is>
      </c>
      <c r="I2" s="2" t="n">
        <v>6120000</v>
      </c>
      <c r="J2" s="2" t="n">
        <v>3020000</v>
      </c>
      <c r="K2" s="2">
        <f>J2/I2*100</f>
        <v/>
      </c>
      <c r="L2" s="2" t="n">
        <v>5</v>
      </c>
      <c r="M2" s="2" t="n">
        <v>42</v>
      </c>
      <c r="N2" s="2" t="n">
        <v>120</v>
      </c>
      <c r="O2" s="2" t="n">
        <v>68</v>
      </c>
      <c r="P2" s="2">
        <f>N2/M2*100</f>
        <v/>
      </c>
      <c r="Q2" s="2" t="inlineStr">
        <is>
          <t>低</t>
        </is>
      </c>
      <c r="R2" s="2" t="inlineStr">
        <is>
          <t>无关键阻塞</t>
        </is>
      </c>
      <c r="S2" s="2" t="n">
        <v>8</v>
      </c>
      <c r="T2" s="2" t="inlineStr">
        <is>
          <t>Beta版发布 2025年5月</t>
        </is>
      </c>
    </row>
    <row r="3" ht="20" customHeight="1">
      <c r="A3" s="3" t="inlineStr">
        <is>
          <t>PRJ-002</t>
        </is>
      </c>
      <c r="B3" s="3" t="inlineStr">
        <is>
          <t>ERP迁移</t>
        </is>
      </c>
      <c r="C3" s="3" t="inlineStr">
        <is>
          <t>吴昊</t>
        </is>
      </c>
      <c r="D3" s="3" t="inlineStr">
        <is>
          <t>IT部</t>
        </is>
      </c>
      <c r="E3" s="3" t="inlineStr">
        <is>
          <t>存在风险</t>
        </is>
      </c>
      <c r="F3" s="3" t="inlineStr">
        <is>
          <t>关键</t>
        </is>
      </c>
      <c r="G3" s="3" t="inlineStr">
        <is>
          <t>2024-11-01</t>
        </is>
      </c>
      <c r="H3" s="3" t="inlineStr">
        <is>
          <t>2025-08-31</t>
        </is>
      </c>
      <c r="I3" s="3" t="n">
        <v>8640000</v>
      </c>
      <c r="J3" s="3" t="n">
        <v>6408000</v>
      </c>
      <c r="K3" s="3">
        <f>J3/I3*100</f>
        <v/>
      </c>
      <c r="L3" s="3" t="n">
        <v>7</v>
      </c>
      <c r="M3" s="3" t="n">
        <v>28</v>
      </c>
      <c r="N3" s="3" t="n">
        <v>200</v>
      </c>
      <c r="O3" s="3" t="n">
        <v>105</v>
      </c>
      <c r="P3" s="3">
        <f>N3/M3*100</f>
        <v/>
      </c>
      <c r="Q3" s="3" t="inlineStr">
        <is>
          <t>高</t>
        </is>
      </c>
      <c r="R3" s="3" t="inlineStr">
        <is>
          <t>历史数据映射延迟</t>
        </is>
      </c>
      <c r="S3" s="3" t="n">
        <v>12</v>
      </c>
      <c r="T3" s="3" t="inlineStr">
        <is>
          <t>数据割接 2025年6月</t>
        </is>
      </c>
    </row>
    <row r="4" ht="20" customHeight="1">
      <c r="A4" s="2" t="inlineStr">
        <is>
          <t>PRJ-003</t>
        </is>
      </c>
      <c r="B4" s="2" t="inlineStr">
        <is>
          <t>移动应用v3</t>
        </is>
      </c>
      <c r="C4" s="2" t="inlineStr">
        <is>
          <t>孙茜</t>
        </is>
      </c>
      <c r="D4" s="2" t="inlineStr">
        <is>
          <t>工程部</t>
        </is>
      </c>
      <c r="E4" s="2" t="inlineStr">
        <is>
          <t>正常推进</t>
        </is>
      </c>
      <c r="F4" s="2" t="inlineStr">
        <is>
          <t>高</t>
        </is>
      </c>
      <c r="G4" s="2" t="inlineStr">
        <is>
          <t>2025-02-03</t>
        </is>
      </c>
      <c r="H4" s="2" t="inlineStr">
        <is>
          <t>2025-07-31</t>
        </is>
      </c>
      <c r="I4" s="2" t="n">
        <v>4465000</v>
      </c>
      <c r="J4" s="2" t="n">
        <v>2015000</v>
      </c>
      <c r="K4" s="2">
        <f>J4/I4*100</f>
        <v/>
      </c>
      <c r="L4" s="2" t="n">
        <v>4</v>
      </c>
      <c r="M4" s="2" t="n">
        <v>38</v>
      </c>
      <c r="N4" s="2" t="n">
        <v>90</v>
      </c>
      <c r="O4" s="2" t="n">
        <v>52</v>
      </c>
      <c r="P4" s="2">
        <f>N4/M4*100</f>
        <v/>
      </c>
      <c r="Q4" s="2" t="inlineStr">
        <is>
          <t>中</t>
        </is>
      </c>
      <c r="R4" s="2" t="inlineStr">
        <is>
          <t>iOS应用审核风险</t>
        </is>
      </c>
      <c r="S4" s="2" t="n">
        <v>6</v>
      </c>
      <c r="T4" s="2" t="inlineStr">
        <is>
          <t>提交App Store 2025年6月</t>
        </is>
      </c>
    </row>
    <row r="5" ht="20" customHeight="1">
      <c r="A5" s="3" t="inlineStr">
        <is>
          <t>PRJ-004</t>
        </is>
      </c>
      <c r="B5" s="3" t="inlineStr">
        <is>
          <t>数据仓库建设</t>
        </is>
      </c>
      <c r="C5" s="3" t="inlineStr">
        <is>
          <t>李大伟</t>
        </is>
      </c>
      <c r="D5" s="3" t="inlineStr">
        <is>
          <t>数据部</t>
        </is>
      </c>
      <c r="E5" s="3" t="inlineStr">
        <is>
          <t>已延期</t>
        </is>
      </c>
      <c r="F5" s="3" t="inlineStr">
        <is>
          <t>高</t>
        </is>
      </c>
      <c r="G5" s="3" t="inlineStr">
        <is>
          <t>2024-12-02</t>
        </is>
      </c>
      <c r="H5" s="3" t="inlineStr">
        <is>
          <t>2025-09-30</t>
        </is>
      </c>
      <c r="I5" s="3" t="n">
        <v>6840000</v>
      </c>
      <c r="J5" s="3" t="n">
        <v>5185000</v>
      </c>
      <c r="K5" s="3">
        <f>J5/I5*100</f>
        <v/>
      </c>
      <c r="L5" s="3" t="n">
        <v>8</v>
      </c>
      <c r="M5" s="3" t="n">
        <v>22</v>
      </c>
      <c r="N5" s="3" t="n">
        <v>160</v>
      </c>
      <c r="O5" s="3" t="n">
        <v>88</v>
      </c>
      <c r="P5" s="3">
        <f>N5/M5*100</f>
        <v/>
      </c>
      <c r="Q5" s="3" t="inlineStr">
        <is>
          <t>高</t>
        </is>
      </c>
      <c r="R5" s="3" t="inlineStr">
        <is>
          <t>基础设施供给滞后</t>
        </is>
      </c>
      <c r="S5" s="3" t="n">
        <v>10</v>
      </c>
      <c r="T5" s="3" t="inlineStr">
        <is>
          <t>生产上线 2025年8月</t>
        </is>
      </c>
    </row>
    <row r="6" ht="20" customHeight="1">
      <c r="A6" s="2" t="inlineStr">
        <is>
          <t>PRJ-005</t>
        </is>
      </c>
      <c r="B6" s="2" t="inlineStr">
        <is>
          <t>品牌焕新</t>
        </is>
      </c>
      <c r="C6" s="2" t="inlineStr">
        <is>
          <t>张思远</t>
        </is>
      </c>
      <c r="D6" s="2" t="inlineStr">
        <is>
          <t>市场部</t>
        </is>
      </c>
      <c r="E6" s="2" t="inlineStr">
        <is>
          <t>已完成</t>
        </is>
      </c>
      <c r="F6" s="2" t="inlineStr">
        <is>
          <t>中</t>
        </is>
      </c>
      <c r="G6" s="2" t="inlineStr">
        <is>
          <t>2025-01-13</t>
        </is>
      </c>
      <c r="H6" s="2" t="inlineStr">
        <is>
          <t>2025-04-30</t>
        </is>
      </c>
      <c r="I6" s="2" t="n">
        <v>1295000</v>
      </c>
      <c r="J6" s="2" t="n">
        <v>1260000</v>
      </c>
      <c r="K6" s="2">
        <f>J6/I6*100</f>
        <v/>
      </c>
      <c r="L6" s="2" t="n">
        <v>10</v>
      </c>
      <c r="M6" s="2" t="n">
        <v>30</v>
      </c>
      <c r="N6" s="2" t="n">
        <v>60</v>
      </c>
      <c r="O6" s="2" t="n">
        <v>60</v>
      </c>
      <c r="P6" s="2">
        <f>N6/M6*100</f>
        <v/>
      </c>
      <c r="Q6" s="2" t="inlineStr">
        <is>
          <t>低</t>
        </is>
      </c>
      <c r="R6" s="2" t="inlineStr">
        <is>
          <t>按时完成</t>
        </is>
      </c>
      <c r="S6" s="2" t="n">
        <v>4</v>
      </c>
      <c r="T6" s="2" t="inlineStr">
        <is>
          <t>发布 2025年4月</t>
        </is>
      </c>
    </row>
    <row r="7" ht="20" customHeight="1">
      <c r="A7" s="3" t="inlineStr">
        <is>
          <t>PRJ-006</t>
        </is>
      </c>
      <c r="B7" s="3" t="inlineStr">
        <is>
          <t>安全审计</t>
        </is>
      </c>
      <c r="C7" s="3" t="inlineStr">
        <is>
          <t>刘峰</t>
        </is>
      </c>
      <c r="D7" s="3" t="inlineStr">
        <is>
          <t>安全部</t>
        </is>
      </c>
      <c r="E7" s="3" t="inlineStr">
        <is>
          <t>正常推进</t>
        </is>
      </c>
      <c r="F7" s="3" t="inlineStr">
        <is>
          <t>关键</t>
        </is>
      </c>
      <c r="G7" s="3" t="inlineStr">
        <is>
          <t>2025-03-03</t>
        </is>
      </c>
      <c r="H7" s="3" t="inlineStr">
        <is>
          <t>2025-06-30</t>
        </is>
      </c>
      <c r="I7" s="3" t="n">
        <v>2305000</v>
      </c>
      <c r="J7" s="3" t="n">
        <v>1115000</v>
      </c>
      <c r="K7" s="3">
        <f>J7/I7*100</f>
        <v/>
      </c>
      <c r="L7" s="3" t="n">
        <v>3</v>
      </c>
      <c r="M7" s="3" t="n">
        <v>45</v>
      </c>
      <c r="N7" s="3" t="n">
        <v>80</v>
      </c>
      <c r="O7" s="3" t="n">
        <v>44</v>
      </c>
      <c r="P7" s="3">
        <f>N7/M7*100</f>
        <v/>
      </c>
      <c r="Q7" s="3" t="inlineStr">
        <is>
          <t>中</t>
        </is>
      </c>
      <c r="R7" s="3" t="inlineStr">
        <is>
          <t>渗透测试发现漏洞</t>
        </is>
      </c>
      <c r="S7" s="3" t="n">
        <v>5</v>
      </c>
      <c r="T7" s="3" t="inlineStr">
        <is>
          <t>最终报告 2025年6月</t>
        </is>
      </c>
    </row>
    <row r="8" ht="20" customHeight="1">
      <c r="A8" s="2" t="inlineStr">
        <is>
          <t>PRJ-007</t>
        </is>
      </c>
      <c r="B8" s="2" t="inlineStr">
        <is>
          <t>HR自助服务</t>
        </is>
      </c>
      <c r="C8" s="2" t="inlineStr">
        <is>
          <t>王惠</t>
        </is>
      </c>
      <c r="D8" s="2" t="inlineStr">
        <is>
          <t>人力资源部</t>
        </is>
      </c>
      <c r="E8" s="2" t="inlineStr">
        <is>
          <t>正常推进</t>
        </is>
      </c>
      <c r="F8" s="2" t="inlineStr">
        <is>
          <t>中</t>
        </is>
      </c>
      <c r="G8" s="2" t="inlineStr">
        <is>
          <t>2025-02-10</t>
        </is>
      </c>
      <c r="H8" s="2" t="inlineStr">
        <is>
          <t>2025-08-29</t>
        </is>
      </c>
      <c r="I8" s="2" t="n">
        <v>2950000</v>
      </c>
      <c r="J8" s="2" t="n">
        <v>1405000</v>
      </c>
      <c r="K8" s="2">
        <f>J8/I8*100</f>
        <v/>
      </c>
      <c r="L8" s="2" t="n">
        <v>4</v>
      </c>
      <c r="M8" s="2" t="n">
        <v>35</v>
      </c>
      <c r="N8" s="2" t="n">
        <v>100</v>
      </c>
      <c r="O8" s="2" t="n">
        <v>48</v>
      </c>
      <c r="P8" s="2">
        <f>N8/M8*100</f>
        <v/>
      </c>
      <c r="Q8" s="2" t="inlineStr">
        <is>
          <t>低</t>
        </is>
      </c>
      <c r="R8" s="2" t="inlineStr">
        <is>
          <t>轻微范围蔓延</t>
        </is>
      </c>
      <c r="S8" s="2" t="n">
        <v>7</v>
      </c>
      <c r="T8" s="2" t="inlineStr">
        <is>
          <t>UAT 2025年7月</t>
        </is>
      </c>
    </row>
    <row r="9" ht="20" customHeight="1">
      <c r="A9" s="3" t="inlineStr">
        <is>
          <t>PRJ-008</t>
        </is>
      </c>
      <c r="B9" s="3" t="inlineStr">
        <is>
          <t>云成本优化</t>
        </is>
      </c>
      <c r="C9" s="3" t="inlineStr">
        <is>
          <t>赵宇</t>
        </is>
      </c>
      <c r="D9" s="3" t="inlineStr">
        <is>
          <t>IT部</t>
        </is>
      </c>
      <c r="E9" s="3" t="inlineStr">
        <is>
          <t>已完成</t>
        </is>
      </c>
      <c r="F9" s="3" t="inlineStr">
        <is>
          <t>中</t>
        </is>
      </c>
      <c r="G9" s="3" t="inlineStr">
        <is>
          <t>2025-01-06</t>
        </is>
      </c>
      <c r="H9" s="3" t="inlineStr">
        <is>
          <t>2025-03-31</t>
        </is>
      </c>
      <c r="I9" s="3" t="n">
        <v>1010000</v>
      </c>
      <c r="J9" s="3" t="n">
        <v>950000</v>
      </c>
      <c r="K9" s="3">
        <f>J9/I9*100</f>
        <v/>
      </c>
      <c r="L9" s="3" t="n">
        <v>10</v>
      </c>
      <c r="M9" s="3" t="n">
        <v>40</v>
      </c>
      <c r="N9" s="3" t="n">
        <v>50</v>
      </c>
      <c r="O9" s="3" t="n">
        <v>50</v>
      </c>
      <c r="P9" s="3">
        <f>N9/M9*100</f>
        <v/>
      </c>
      <c r="Q9" s="3" t="inlineStr">
        <is>
          <t>低</t>
        </is>
      </c>
      <c r="R9" s="3" t="inlineStr">
        <is>
          <t>低于预算完成</t>
        </is>
      </c>
      <c r="S9" s="3" t="n">
        <v>3</v>
      </c>
      <c r="T9" s="3" t="inlineStr">
        <is>
          <t>已结项 2025年3月</t>
        </is>
      </c>
    </row>
    <row r="10" ht="20" customHeight="1">
      <c r="A10" s="2" t="inlineStr">
        <is>
          <t>PRJ-009</t>
        </is>
      </c>
      <c r="B10" s="2" t="inlineStr">
        <is>
          <t>客户门户</t>
        </is>
      </c>
      <c r="C10" s="2" t="inlineStr">
        <is>
          <t>徐伊</t>
        </is>
      </c>
      <c r="D10" s="2" t="inlineStr">
        <is>
          <t>产品部</t>
        </is>
      </c>
      <c r="E10" s="2" t="inlineStr">
        <is>
          <t>存在风险</t>
        </is>
      </c>
      <c r="F10" s="2" t="inlineStr">
        <is>
          <t>高</t>
        </is>
      </c>
      <c r="G10" s="2" t="inlineStr">
        <is>
          <t>2025-03-17</t>
        </is>
      </c>
      <c r="H10" s="2" t="inlineStr">
        <is>
          <t>2025-09-30</t>
        </is>
      </c>
      <c r="I10" s="2" t="n">
        <v>5620000</v>
      </c>
      <c r="J10" s="2" t="n">
        <v>2305000</v>
      </c>
      <c r="K10" s="2">
        <f>J10/I10*100</f>
        <v/>
      </c>
      <c r="L10" s="2" t="n">
        <v>3</v>
      </c>
      <c r="M10" s="2" t="n">
        <v>25</v>
      </c>
      <c r="N10" s="2" t="n">
        <v>140</v>
      </c>
      <c r="O10" s="2" t="n">
        <v>52</v>
      </c>
      <c r="P10" s="2">
        <f>N10/M10*100</f>
        <v/>
      </c>
      <c r="Q10" s="2" t="inlineStr">
        <is>
          <t>高</t>
        </is>
      </c>
      <c r="R10" s="2" t="inlineStr">
        <is>
          <t>第三方API依赖风险</t>
        </is>
      </c>
      <c r="S10" s="2" t="n">
        <v>9</v>
      </c>
      <c r="T10" s="2" t="inlineStr">
        <is>
          <t>公测 2025年8月</t>
        </is>
      </c>
    </row>
    <row r="11" ht="20" customHeight="1">
      <c r="A11" s="3" t="inlineStr">
        <is>
          <t>PRJ-010</t>
        </is>
      </c>
      <c r="B11" s="3" t="inlineStr">
        <is>
          <t>2025合规项目</t>
        </is>
      </c>
      <c r="C11" s="3" t="inlineStr">
        <is>
          <t>马杰</t>
        </is>
      </c>
      <c r="D11" s="3" t="inlineStr">
        <is>
          <t>法务部</t>
        </is>
      </c>
      <c r="E11" s="3" t="inlineStr">
        <is>
          <t>正常推进</t>
        </is>
      </c>
      <c r="F11" s="3" t="inlineStr">
        <is>
          <t>关键</t>
        </is>
      </c>
      <c r="G11" s="3" t="inlineStr">
        <is>
          <t>2025-01-13</t>
        </is>
      </c>
      <c r="H11" s="3" t="inlineStr">
        <is>
          <t>2025-12-31</t>
        </is>
      </c>
      <c r="I11" s="3" t="n">
        <v>4035000</v>
      </c>
      <c r="J11" s="3" t="n">
        <v>1655000</v>
      </c>
      <c r="K11" s="3">
        <f>J11/I11*100</f>
        <v/>
      </c>
      <c r="L11" s="3" t="n">
        <v>5</v>
      </c>
      <c r="M11" s="3" t="n">
        <v>38</v>
      </c>
      <c r="N11" s="3" t="n">
        <v>180</v>
      </c>
      <c r="O11" s="3" t="n">
        <v>85</v>
      </c>
      <c r="P11" s="3">
        <f>N11/M11*100</f>
        <v/>
      </c>
      <c r="Q11" s="3" t="inlineStr">
        <is>
          <t>中</t>
        </is>
      </c>
      <c r="R11" s="3" t="inlineStr">
        <is>
          <t>监管时间线风险</t>
        </is>
      </c>
      <c r="S11" s="3" t="n">
        <v>8</v>
      </c>
      <c r="T11" s="3" t="inlineStr">
        <is>
          <t>审计提交 2025年10月</t>
        </is>
      </c>
    </row>
    <row r="12" ht="20" customHeight="1">
      <c r="A12" s="2" t="inlineStr">
        <is>
          <t>PRJ-011</t>
        </is>
      </c>
      <c r="B12" s="2" t="inlineStr">
        <is>
          <t>销售数据看板</t>
        </is>
      </c>
      <c r="C12" s="2" t="inlineStr">
        <is>
          <t>陈彤</t>
        </is>
      </c>
      <c r="D12" s="2" t="inlineStr">
        <is>
          <t>销售部</t>
        </is>
      </c>
      <c r="E12" s="2" t="inlineStr">
        <is>
          <t>已完成</t>
        </is>
      </c>
      <c r="F12" s="2" t="inlineStr">
        <is>
          <t>低</t>
        </is>
      </c>
      <c r="G12" s="2" t="inlineStr">
        <is>
          <t>2025-01-06</t>
        </is>
      </c>
      <c r="H12" s="2" t="inlineStr">
        <is>
          <t>2025-03-31</t>
        </is>
      </c>
      <c r="I12" s="2" t="n">
        <v>685000</v>
      </c>
      <c r="J12" s="2" t="n">
        <v>655000</v>
      </c>
      <c r="K12" s="2">
        <f>J12/I12*100</f>
        <v/>
      </c>
      <c r="L12" s="2" t="n">
        <v>10</v>
      </c>
      <c r="M12" s="2" t="n">
        <v>32</v>
      </c>
      <c r="N12" s="2" t="n">
        <v>40</v>
      </c>
      <c r="O12" s="2" t="n">
        <v>40</v>
      </c>
      <c r="P12" s="2">
        <f>N12/M12*100</f>
        <v/>
      </c>
      <c r="Q12" s="2" t="inlineStr">
        <is>
          <t>低</t>
        </is>
      </c>
      <c r="R12" s="2" t="inlineStr">
        <is>
          <t>按期交付</t>
        </is>
      </c>
      <c r="S12" s="2" t="n">
        <v>3</v>
      </c>
      <c r="T12" s="2" t="inlineStr">
        <is>
          <t>上线 2025年3月</t>
        </is>
      </c>
    </row>
    <row r="13" ht="20" customHeight="1">
      <c r="A13" s="3" t="inlineStr">
        <is>
          <t>PRJ-012</t>
        </is>
      </c>
      <c r="B13" s="3" t="inlineStr">
        <is>
          <t>API网关v2</t>
        </is>
      </c>
      <c r="C13" s="3" t="inlineStr">
        <is>
          <t>王乐</t>
        </is>
      </c>
      <c r="D13" s="3" t="inlineStr">
        <is>
          <t>工程部</t>
        </is>
      </c>
      <c r="E13" s="3" t="inlineStr">
        <is>
          <t>正常推进</t>
        </is>
      </c>
      <c r="F13" s="3" t="inlineStr">
        <is>
          <t>高</t>
        </is>
      </c>
      <c r="G13" s="3" t="inlineStr">
        <is>
          <t>2025-02-24</t>
        </is>
      </c>
      <c r="H13" s="3" t="inlineStr">
        <is>
          <t>2025-07-31</t>
        </is>
      </c>
      <c r="I13" s="3" t="n">
        <v>3095000</v>
      </c>
      <c r="J13" s="3" t="n">
        <v>1355000</v>
      </c>
      <c r="K13" s="3">
        <f>J13/I13*100</f>
        <v/>
      </c>
      <c r="L13" s="3" t="n">
        <v>4</v>
      </c>
      <c r="M13" s="3" t="n">
        <v>44</v>
      </c>
      <c r="N13" s="3" t="n">
        <v>85</v>
      </c>
      <c r="O13" s="3" t="n">
        <v>44</v>
      </c>
      <c r="P13" s="3">
        <f>N13/M13*100</f>
        <v/>
      </c>
      <c r="Q13" s="3" t="inlineStr">
        <is>
          <t>低</t>
        </is>
      </c>
      <c r="R13" s="3" t="inlineStr">
        <is>
          <t>性能测试待进行</t>
        </is>
      </c>
      <c r="S13" s="3" t="n">
        <v>5</v>
      </c>
      <c r="T13" s="3" t="inlineStr">
        <is>
          <t>负载测试 2025年6月</t>
        </is>
      </c>
    </row>
    <row r="14" ht="20" customHeight="1">
      <c r="A14" s="2" t="inlineStr">
        <is>
          <t>PRJ-013</t>
        </is>
      </c>
      <c r="B14" s="2" t="inlineStr">
        <is>
          <t>供应链BI</t>
        </is>
      </c>
      <c r="C14" s="2" t="inlineStr">
        <is>
          <t>刘敏</t>
        </is>
      </c>
      <c r="D14" s="2" t="inlineStr">
        <is>
          <t>运营部</t>
        </is>
      </c>
      <c r="E14" s="2" t="inlineStr">
        <is>
          <t>已延期</t>
        </is>
      </c>
      <c r="F14" s="2" t="inlineStr">
        <is>
          <t>高</t>
        </is>
      </c>
      <c r="G14" s="2" t="inlineStr">
        <is>
          <t>2024-12-09</t>
        </is>
      </c>
      <c r="H14" s="2" t="inlineStr">
        <is>
          <t>2025-10-31</t>
        </is>
      </c>
      <c r="I14" s="2" t="n">
        <v>6265000</v>
      </c>
      <c r="J14" s="2" t="n">
        <v>4680000</v>
      </c>
      <c r="K14" s="2">
        <f>J14/I14*100</f>
        <v/>
      </c>
      <c r="L14" s="2" t="n">
        <v>9</v>
      </c>
      <c r="M14" s="2" t="n">
        <v>20</v>
      </c>
      <c r="N14" s="2" t="n">
        <v>155</v>
      </c>
      <c r="O14" s="2" t="n">
        <v>82</v>
      </c>
      <c r="P14" s="2">
        <f>N14/M14*100</f>
        <v/>
      </c>
      <c r="Q14" s="2" t="inlineStr">
        <is>
          <t>高</t>
        </is>
      </c>
      <c r="R14" s="2" t="inlineStr">
        <is>
          <t>数据源集成问题</t>
        </is>
      </c>
      <c r="S14" s="2" t="n">
        <v>11</v>
      </c>
      <c r="T14" s="2" t="inlineStr">
        <is>
          <t>看板交付 2025年9月</t>
        </is>
      </c>
    </row>
    <row r="15" ht="20" customHeight="1">
      <c r="A15" s="3" t="inlineStr">
        <is>
          <t>PRJ-014</t>
        </is>
      </c>
      <c r="B15" s="3" t="inlineStr">
        <is>
          <t>人才管理2.0</t>
        </is>
      </c>
      <c r="C15" s="3" t="inlineStr">
        <is>
          <t>朴小林</t>
        </is>
      </c>
      <c r="D15" s="3" t="inlineStr">
        <is>
          <t>人力资源部</t>
        </is>
      </c>
      <c r="E15" s="3" t="inlineStr">
        <is>
          <t>正常推进</t>
        </is>
      </c>
      <c r="F15" s="3" t="inlineStr">
        <is>
          <t>中</t>
        </is>
      </c>
      <c r="G15" s="3" t="inlineStr">
        <is>
          <t>2025-04-07</t>
        </is>
      </c>
      <c r="H15" s="3" t="inlineStr">
        <is>
          <t>2025-11-28</t>
        </is>
      </c>
      <c r="I15" s="3" t="n">
        <v>2665000</v>
      </c>
      <c r="J15" s="3" t="n">
        <v>685000</v>
      </c>
      <c r="K15" s="3">
        <f>J15/I15*100</f>
        <v/>
      </c>
      <c r="L15" s="3" t="n">
        <v>2</v>
      </c>
      <c r="M15" s="3" t="n">
        <v>36</v>
      </c>
      <c r="N15" s="3" t="n">
        <v>90</v>
      </c>
      <c r="O15" s="3" t="n">
        <v>24</v>
      </c>
      <c r="P15" s="3">
        <f>N15/M15*100</f>
        <v/>
      </c>
      <c r="Q15" s="3" t="inlineStr">
        <is>
          <t>低</t>
        </is>
      </c>
      <c r="R15" s="3" t="inlineStr">
        <is>
          <t>进度正常</t>
        </is>
      </c>
      <c r="S15" s="3" t="n">
        <v>6</v>
      </c>
      <c r="T15" s="3" t="inlineStr">
        <is>
          <t>试点 2025年10月</t>
        </is>
      </c>
    </row>
    <row r="16" ht="20" customHeight="1">
      <c r="A16" s="2" t="inlineStr">
        <is>
          <t>PRJ-015</t>
        </is>
      </c>
      <c r="B16" s="2" t="inlineStr">
        <is>
          <t>财务关账系统</t>
        </is>
      </c>
      <c r="C16" s="2" t="inlineStr">
        <is>
          <t>徐晖</t>
        </is>
      </c>
      <c r="D16" s="2" t="inlineStr">
        <is>
          <t>财务部</t>
        </is>
      </c>
      <c r="E16" s="2" t="inlineStr">
        <is>
          <t>正常推进</t>
        </is>
      </c>
      <c r="F16" s="2" t="inlineStr">
        <is>
          <t>关键</t>
        </is>
      </c>
      <c r="G16" s="2" t="inlineStr">
        <is>
          <t>2025-01-06</t>
        </is>
      </c>
      <c r="H16" s="2" t="inlineStr">
        <is>
          <t>2025-06-30</t>
        </is>
      </c>
      <c r="I16" s="2" t="n">
        <v>2090000</v>
      </c>
      <c r="J16" s="2" t="n">
        <v>1280000</v>
      </c>
      <c r="K16" s="2">
        <f>J16/I16*100</f>
        <v/>
      </c>
      <c r="L16" s="2" t="n">
        <v>5</v>
      </c>
      <c r="M16" s="2" t="n">
        <v>42</v>
      </c>
      <c r="N16" s="2" t="n">
        <v>70</v>
      </c>
      <c r="O16" s="2" t="n">
        <v>48</v>
      </c>
      <c r="P16" s="2">
        <f>N16/M16*100</f>
        <v/>
      </c>
      <c r="Q16" s="2" t="inlineStr">
        <is>
          <t>中</t>
        </is>
      </c>
      <c r="R16" s="2" t="inlineStr">
        <is>
          <t>月末依赖风险</t>
        </is>
      </c>
      <c r="S16" s="2" t="n">
        <v>4</v>
      </c>
      <c r="T16" s="2" t="inlineStr">
        <is>
          <t>上线 2025年6月</t>
        </is>
      </c>
    </row>
    <row r="17" ht="20" customHeight="1">
      <c r="A17" s="3" t="inlineStr">
        <is>
          <t>PRJ-016</t>
        </is>
      </c>
      <c r="B17" s="3" t="inlineStr">
        <is>
          <t>IoT传感器网格</t>
        </is>
      </c>
      <c r="C17" s="3" t="inlineStr">
        <is>
          <t>张鹏</t>
        </is>
      </c>
      <c r="D17" s="3" t="inlineStr">
        <is>
          <t>研发部</t>
        </is>
      </c>
      <c r="E17" s="3" t="inlineStr">
        <is>
          <t>存在风险</t>
        </is>
      </c>
      <c r="F17" s="3" t="inlineStr">
        <is>
          <t>高</t>
        </is>
      </c>
      <c r="G17" s="3" t="inlineStr">
        <is>
          <t>2025-02-03</t>
        </is>
      </c>
      <c r="H17" s="3" t="inlineStr">
        <is>
          <t>2025-12-31</t>
        </is>
      </c>
      <c r="I17" s="3" t="n">
        <v>7920000</v>
      </c>
      <c r="J17" s="3" t="n">
        <v>3495000</v>
      </c>
      <c r="K17" s="3">
        <f>J17/I17*100</f>
        <v/>
      </c>
      <c r="L17" s="3" t="n">
        <v>4</v>
      </c>
      <c r="M17" s="3" t="n">
        <v>18</v>
      </c>
      <c r="N17" s="3" t="n">
        <v>200</v>
      </c>
      <c r="O17" s="3" t="n">
        <v>78</v>
      </c>
      <c r="P17" s="3">
        <f>N17/M17*100</f>
        <v/>
      </c>
      <c r="Q17" s="3" t="inlineStr">
        <is>
          <t>高</t>
        </is>
      </c>
      <c r="R17" s="3" t="inlineStr">
        <is>
          <t>硬件供货短缺</t>
        </is>
      </c>
      <c r="S17" s="3" t="n">
        <v>14</v>
      </c>
      <c r="T17" s="3" t="inlineStr">
        <is>
          <t>现场试点 2025年10月</t>
        </is>
      </c>
    </row>
    <row r="18" ht="20" customHeight="1">
      <c r="A18" s="2" t="inlineStr">
        <is>
          <t>PRJ-017</t>
        </is>
      </c>
      <c r="B18" s="2" t="inlineStr">
        <is>
          <t>内容CMS</t>
        </is>
      </c>
      <c r="C18" s="2" t="inlineStr">
        <is>
          <t>李倩</t>
        </is>
      </c>
      <c r="D18" s="2" t="inlineStr">
        <is>
          <t>市场部</t>
        </is>
      </c>
      <c r="E18" s="2" t="inlineStr">
        <is>
          <t>已完成</t>
        </is>
      </c>
      <c r="F18" s="2" t="inlineStr">
        <is>
          <t>低</t>
        </is>
      </c>
      <c r="G18" s="2" t="inlineStr">
        <is>
          <t>2025-02-17</t>
        </is>
      </c>
      <c r="H18" s="2" t="inlineStr">
        <is>
          <t>2025-05-09</t>
        </is>
      </c>
      <c r="I18" s="2" t="n">
        <v>935000</v>
      </c>
      <c r="J18" s="2" t="n">
        <v>920000</v>
      </c>
      <c r="K18" s="2">
        <f>J18/I18*100</f>
        <v/>
      </c>
      <c r="L18" s="2" t="n">
        <v>10</v>
      </c>
      <c r="M18" s="2" t="n">
        <v>28</v>
      </c>
      <c r="N18" s="2" t="n">
        <v>50</v>
      </c>
      <c r="O18" s="2" t="n">
        <v>50</v>
      </c>
      <c r="P18" s="2">
        <f>N18/M18*100</f>
        <v/>
      </c>
      <c r="Q18" s="2" t="inlineStr">
        <is>
          <t>低</t>
        </is>
      </c>
      <c r="R18" s="2" t="inlineStr">
        <is>
          <t>提前2天交付</t>
        </is>
      </c>
      <c r="S18" s="2" t="n">
        <v>3</v>
      </c>
      <c r="T18" s="2" t="inlineStr">
        <is>
          <t>发布 2025年5月</t>
        </is>
      </c>
    </row>
    <row r="19" ht="20" customHeight="1">
      <c r="A19" s="3" t="inlineStr">
        <is>
          <t>PRJ-018</t>
        </is>
      </c>
      <c r="B19" s="3" t="inlineStr">
        <is>
          <t>智能客服v2</t>
        </is>
      </c>
      <c r="C19" s="3" t="inlineStr">
        <is>
          <t>孙明</t>
        </is>
      </c>
      <c r="D19" s="3" t="inlineStr">
        <is>
          <t>客服部</t>
        </is>
      </c>
      <c r="E19" s="3" t="inlineStr">
        <is>
          <t>正常推进</t>
        </is>
      </c>
      <c r="F19" s="3" t="inlineStr">
        <is>
          <t>中</t>
        </is>
      </c>
      <c r="G19" s="3" t="inlineStr">
        <is>
          <t>2025-03-10</t>
        </is>
      </c>
      <c r="H19" s="3" t="inlineStr">
        <is>
          <t>2025-08-29</t>
        </is>
      </c>
      <c r="I19" s="3" t="n">
        <v>2520000</v>
      </c>
      <c r="J19" s="3" t="n">
        <v>1010000</v>
      </c>
      <c r="K19" s="3">
        <f>J19/I19*100</f>
        <v/>
      </c>
      <c r="L19" s="3" t="n">
        <v>3</v>
      </c>
      <c r="M19" s="3" t="n">
        <v>34</v>
      </c>
      <c r="N19" s="3" t="n">
        <v>75</v>
      </c>
      <c r="O19" s="3" t="n">
        <v>30</v>
      </c>
      <c r="P19" s="3">
        <f>N19/M19*100</f>
        <v/>
      </c>
      <c r="Q19" s="3" t="inlineStr">
        <is>
          <t>中</t>
        </is>
      </c>
      <c r="R19" s="3" t="inlineStr">
        <is>
          <t>NLP模型精度</t>
        </is>
      </c>
      <c r="S19" s="3" t="n">
        <v>5</v>
      </c>
      <c r="T19" s="3" t="inlineStr">
        <is>
          <t>推广 2025年8月</t>
        </is>
      </c>
    </row>
    <row r="20" ht="20" customHeight="1">
      <c r="A20" s="2" t="inlineStr">
        <is>
          <t>PRJ-019</t>
        </is>
      </c>
      <c r="B20" s="2" t="inlineStr">
        <is>
          <t>合作伙伴生态</t>
        </is>
      </c>
      <c r="C20" s="2" t="inlineStr">
        <is>
          <t>陈斌</t>
        </is>
      </c>
      <c r="D20" s="2" t="inlineStr">
        <is>
          <t>商务拓展部</t>
        </is>
      </c>
      <c r="E20" s="2" t="inlineStr">
        <is>
          <t>已延期</t>
        </is>
      </c>
      <c r="F20" s="2" t="inlineStr">
        <is>
          <t>中</t>
        </is>
      </c>
      <c r="G20" s="2" t="inlineStr">
        <is>
          <t>2025-01-20</t>
        </is>
      </c>
      <c r="H20" s="2" t="inlineStr">
        <is>
          <t>2025-09-30</t>
        </is>
      </c>
      <c r="I20" s="2" t="n">
        <v>3455000</v>
      </c>
      <c r="J20" s="2" t="n">
        <v>2735000</v>
      </c>
      <c r="K20" s="2">
        <f>J20/I20*100</f>
        <v/>
      </c>
      <c r="L20" s="2" t="n">
        <v>7</v>
      </c>
      <c r="M20" s="2" t="n">
        <v>24</v>
      </c>
      <c r="N20" s="2" t="n">
        <v>110</v>
      </c>
      <c r="O20" s="2" t="n">
        <v>65</v>
      </c>
      <c r="P20" s="2">
        <f>N20/M20*100</f>
        <v/>
      </c>
      <c r="Q20" s="2" t="inlineStr">
        <is>
          <t>中</t>
        </is>
      </c>
      <c r="R20" s="2" t="inlineStr">
        <is>
          <t>合作商入驻进度慢</t>
        </is>
      </c>
      <c r="S20" s="2" t="n">
        <v>7</v>
      </c>
      <c r="T20" s="2" t="inlineStr">
        <is>
          <t>集成冲刺 2025年9月</t>
        </is>
      </c>
    </row>
    <row r="21" ht="20" customHeight="1">
      <c r="A21" s="3" t="inlineStr">
        <is>
          <t>PRJ-020</t>
        </is>
      </c>
      <c r="B21" s="3" t="inlineStr">
        <is>
          <t>BI现代化</t>
        </is>
      </c>
      <c r="C21" s="3" t="inlineStr">
        <is>
          <t>吴婷</t>
        </is>
      </c>
      <c r="D21" s="3" t="inlineStr">
        <is>
          <t>数据部</t>
        </is>
      </c>
      <c r="E21" s="3" t="inlineStr">
        <is>
          <t>正常推进</t>
        </is>
      </c>
      <c r="F21" s="3" t="inlineStr">
        <is>
          <t>高</t>
        </is>
      </c>
      <c r="G21" s="3" t="inlineStr">
        <is>
          <t>2025-03-03</t>
        </is>
      </c>
      <c r="H21" s="3" t="inlineStr">
        <is>
          <t>2026-02-27</t>
        </is>
      </c>
      <c r="I21" s="3" t="n">
        <v>9720000</v>
      </c>
      <c r="J21" s="3" t="n">
        <v>1510000</v>
      </c>
      <c r="K21" s="3">
        <f>J21/I21*100</f>
        <v/>
      </c>
      <c r="L21" s="3" t="n">
        <v>2</v>
      </c>
      <c r="M21" s="3" t="n">
        <v>40</v>
      </c>
      <c r="N21" s="3" t="n">
        <v>240</v>
      </c>
      <c r="O21" s="3" t="n">
        <v>48</v>
      </c>
      <c r="P21" s="3">
        <f>N21/M21*100</f>
        <v/>
      </c>
      <c r="Q21" s="3" t="inlineStr">
        <is>
          <t>低</t>
        </is>
      </c>
      <c r="R21" s="3" t="inlineStr">
        <is>
          <t>资源充足</t>
        </is>
      </c>
      <c r="S21" s="3" t="n">
        <v>16</v>
      </c>
      <c r="T21" s="3" t="inlineStr">
        <is>
          <t>第一阶段上线 2025年9月</t>
        </is>
      </c>
    </row>
    <row r="22" ht="20" customHeight="1">
      <c r="A22" s="2" t="inlineStr">
        <is>
          <t>PRJ-021</t>
        </is>
      </c>
      <c r="B22" s="2" t="inlineStr">
        <is>
          <t>DevSecOps流水线</t>
        </is>
      </c>
      <c r="C22" s="2" t="inlineStr">
        <is>
          <t>周浩</t>
        </is>
      </c>
      <c r="D22" s="2" t="inlineStr">
        <is>
          <t>DevOps</t>
        </is>
      </c>
      <c r="E22" s="2" t="inlineStr">
        <is>
          <t>正常推进</t>
        </is>
      </c>
      <c r="F22" s="2" t="inlineStr">
        <is>
          <t>高</t>
        </is>
      </c>
      <c r="G22" s="2" t="inlineStr">
        <is>
          <t>2025-02-10</t>
        </is>
      </c>
      <c r="H22" s="2" t="inlineStr">
        <is>
          <t>2025-08-01</t>
        </is>
      </c>
      <c r="I22" s="2" t="n">
        <v>2845000</v>
      </c>
      <c r="J22" s="2" t="n">
        <v>1510000</v>
      </c>
      <c r="K22" s="2">
        <f>J22/I22*100</f>
        <v/>
      </c>
      <c r="L22" s="2" t="n">
        <v>4</v>
      </c>
      <c r="M22" s="2" t="n">
        <v>46</v>
      </c>
      <c r="N22" s="2" t="n">
        <v>80</v>
      </c>
      <c r="O22" s="2" t="n">
        <v>44</v>
      </c>
      <c r="P22" s="2">
        <f>N22/M22*100</f>
        <v/>
      </c>
      <c r="Q22" s="2" t="inlineStr">
        <is>
          <t>低</t>
        </is>
      </c>
      <c r="R22" s="2" t="inlineStr">
        <is>
          <t>CI/CD运行稳定</t>
        </is>
      </c>
      <c r="S22" s="2" t="n">
        <v>5</v>
      </c>
      <c r="T22" s="2" t="inlineStr">
        <is>
          <t>全面推广 2025年7月</t>
        </is>
      </c>
    </row>
    <row r="23" ht="20" customHeight="1">
      <c r="A23" s="3" t="inlineStr">
        <is>
          <t>PRJ-022</t>
        </is>
      </c>
      <c r="B23" s="3" t="inlineStr">
        <is>
          <t>零售数据分析</t>
        </is>
      </c>
      <c r="C23" s="3" t="inlineStr">
        <is>
          <t>李晨</t>
        </is>
      </c>
      <c r="D23" s="3" t="inlineStr">
        <is>
          <t>分析部</t>
        </is>
      </c>
      <c r="E23" s="3" t="inlineStr">
        <is>
          <t>存在风险</t>
        </is>
      </c>
      <c r="F23" s="3" t="inlineStr">
        <is>
          <t>高</t>
        </is>
      </c>
      <c r="G23" s="3" t="inlineStr">
        <is>
          <t>2025-01-13</t>
        </is>
      </c>
      <c r="H23" s="3" t="inlineStr">
        <is>
          <t>2025-09-30</t>
        </is>
      </c>
      <c r="I23" s="3" t="n">
        <v>5260000</v>
      </c>
      <c r="J23" s="3" t="n">
        <v>3670000</v>
      </c>
      <c r="K23" s="3">
        <f>J23/I23*100</f>
        <v/>
      </c>
      <c r="L23" s="3" t="n">
        <v>8</v>
      </c>
      <c r="M23" s="3" t="n">
        <v>22</v>
      </c>
      <c r="N23" s="3" t="n">
        <v>160</v>
      </c>
      <c r="O23" s="3" t="n">
        <v>90</v>
      </c>
      <c r="P23" s="3">
        <f>N23/M23*100</f>
        <v/>
      </c>
      <c r="Q23" s="3" t="inlineStr">
        <is>
          <t>高</t>
        </is>
      </c>
      <c r="R23" s="3" t="inlineStr">
        <is>
          <t>项目中期平台迁移风险</t>
        </is>
      </c>
      <c r="S23" s="3" t="n">
        <v>9</v>
      </c>
      <c r="T23" s="3" t="inlineStr">
        <is>
          <t>门店部署 2025年8月</t>
        </is>
      </c>
    </row>
    <row r="24" ht="20" customHeight="1">
      <c r="A24" s="2" t="inlineStr">
        <is>
          <t>PRJ-023</t>
        </is>
      </c>
      <c r="B24" s="2" t="inlineStr">
        <is>
          <t>员工App</t>
        </is>
      </c>
      <c r="C24" s="2" t="inlineStr">
        <is>
          <t>马文</t>
        </is>
      </c>
      <c r="D24" s="2" t="inlineStr">
        <is>
          <t>人力资源部</t>
        </is>
      </c>
      <c r="E24" s="2" t="inlineStr">
        <is>
          <t>正常推进</t>
        </is>
      </c>
      <c r="F24" s="2" t="inlineStr">
        <is>
          <t>低</t>
        </is>
      </c>
      <c r="G24" s="2" t="inlineStr">
        <is>
          <t>2025-03-17</t>
        </is>
      </c>
      <c r="H24" s="2" t="inlineStr">
        <is>
          <t>2025-10-31</t>
        </is>
      </c>
      <c r="I24" s="2" t="n">
        <v>2015000</v>
      </c>
      <c r="J24" s="2" t="n">
        <v>635000</v>
      </c>
      <c r="K24" s="2">
        <f>J24/I24*100</f>
        <v/>
      </c>
      <c r="L24" s="2" t="n">
        <v>2</v>
      </c>
      <c r="M24" s="2" t="n">
        <v>32</v>
      </c>
      <c r="N24" s="2" t="n">
        <v>70</v>
      </c>
      <c r="O24" s="2" t="n">
        <v>22</v>
      </c>
      <c r="P24" s="2">
        <f>N24/M24*100</f>
        <v/>
      </c>
      <c r="Q24" s="2" t="inlineStr">
        <is>
          <t>低</t>
        </is>
      </c>
      <c r="R24" s="2" t="inlineStr">
        <is>
          <t>团队速度良好</t>
        </is>
      </c>
      <c r="S24" s="2" t="n">
        <v>4</v>
      </c>
      <c r="T24" s="2" t="inlineStr">
        <is>
          <t>Beta 2025年9月</t>
        </is>
      </c>
    </row>
    <row r="25" ht="20" customHeight="1">
      <c r="A25" s="3" t="inlineStr">
        <is>
          <t>PRJ-024</t>
        </is>
      </c>
      <c r="B25" s="3" t="inlineStr">
        <is>
          <t>定价引擎</t>
        </is>
      </c>
      <c r="C25" s="3" t="inlineStr">
        <is>
          <t>徐涛</t>
        </is>
      </c>
      <c r="D25" s="3" t="inlineStr">
        <is>
          <t>产品部</t>
        </is>
      </c>
      <c r="E25" s="3" t="inlineStr">
        <is>
          <t>正常推进</t>
        </is>
      </c>
      <c r="F25" s="3" t="inlineStr">
        <is>
          <t>高</t>
        </is>
      </c>
      <c r="G25" s="3" t="inlineStr">
        <is>
          <t>2025-02-24</t>
        </is>
      </c>
      <c r="H25" s="3" t="inlineStr">
        <is>
          <t>2025-08-29</t>
        </is>
      </c>
      <c r="I25" s="3" t="n">
        <v>4035000</v>
      </c>
      <c r="J25" s="3" t="n">
        <v>1765000</v>
      </c>
      <c r="K25" s="3">
        <f>J25/I25*100</f>
        <v/>
      </c>
      <c r="L25" s="3" t="n">
        <v>4</v>
      </c>
      <c r="M25" s="3" t="n">
        <v>38</v>
      </c>
      <c r="N25" s="3" t="n">
        <v>100</v>
      </c>
      <c r="O25" s="3" t="n">
        <v>48</v>
      </c>
      <c r="P25" s="3">
        <f>N25/M25*100</f>
        <v/>
      </c>
      <c r="Q25" s="3" t="inlineStr">
        <is>
          <t>中</t>
        </is>
      </c>
      <c r="R25" s="3" t="inlineStr">
        <is>
          <t>需要A/B测试基础设施</t>
        </is>
      </c>
      <c r="S25" s="3" t="n">
        <v>7</v>
      </c>
      <c r="T25" s="3" t="inlineStr">
        <is>
          <t>发布 2025年8月</t>
        </is>
      </c>
    </row>
    <row r="26" ht="20" customHeight="1">
      <c r="A26" s="2" t="inlineStr">
        <is>
          <t>PRJ-025</t>
        </is>
      </c>
      <c r="B26" s="2" t="inlineStr">
        <is>
          <t>网络升级</t>
        </is>
      </c>
      <c r="C26" s="2" t="inlineStr">
        <is>
          <t>陈远</t>
        </is>
      </c>
      <c r="D26" s="2" t="inlineStr">
        <is>
          <t>IT部</t>
        </is>
      </c>
      <c r="E26" s="2" t="inlineStr">
        <is>
          <t>已完成</t>
        </is>
      </c>
      <c r="F26" s="2" t="inlineStr">
        <is>
          <t>关键</t>
        </is>
      </c>
      <c r="G26" s="2" t="inlineStr">
        <is>
          <t>2025-01-06</t>
        </is>
      </c>
      <c r="H26" s="2" t="inlineStr">
        <is>
          <t>2025-04-30</t>
        </is>
      </c>
      <c r="I26" s="2" t="n">
        <v>5185000</v>
      </c>
      <c r="J26" s="2" t="n">
        <v>5030000</v>
      </c>
      <c r="K26" s="2">
        <f>J26/I26*100</f>
        <v/>
      </c>
      <c r="L26" s="2" t="n">
        <v>10</v>
      </c>
      <c r="M26" s="2" t="n">
        <v>30</v>
      </c>
      <c r="N26" s="2" t="n">
        <v>90</v>
      </c>
      <c r="O26" s="2" t="n">
        <v>90</v>
      </c>
      <c r="P26" s="2">
        <f>N26/M26*100</f>
        <v/>
      </c>
      <c r="Q26" s="2" t="inlineStr">
        <is>
          <t>低</t>
        </is>
      </c>
      <c r="R26" s="2" t="inlineStr">
        <is>
          <t>按时完成</t>
        </is>
      </c>
      <c r="S26" s="2" t="n">
        <v>8</v>
      </c>
      <c r="T26" s="2" t="inlineStr">
        <is>
          <t>已结项 2025年4月</t>
        </is>
      </c>
    </row>
    <row r="27" ht="20" customHeight="1">
      <c r="A27" s="3" t="inlineStr">
        <is>
          <t>PRJ-026</t>
        </is>
      </c>
      <c r="B27" s="3" t="inlineStr">
        <is>
          <t>法务工作流</t>
        </is>
      </c>
      <c r="C27" s="3" t="inlineStr">
        <is>
          <t>刘阳</t>
        </is>
      </c>
      <c r="D27" s="3" t="inlineStr">
        <is>
          <t>法务部</t>
        </is>
      </c>
      <c r="E27" s="3" t="inlineStr">
        <is>
          <t>正常推进</t>
        </is>
      </c>
      <c r="F27" s="3" t="inlineStr">
        <is>
          <t>中</t>
        </is>
      </c>
      <c r="G27" s="3" t="inlineStr">
        <is>
          <t>2025-04-07</t>
        </is>
      </c>
      <c r="H27" s="3" t="inlineStr">
        <is>
          <t>2025-10-31</t>
        </is>
      </c>
      <c r="I27" s="3" t="n">
        <v>1510000</v>
      </c>
      <c r="J27" s="3" t="n">
        <v>395000</v>
      </c>
      <c r="K27" s="3">
        <f>J27/I27*100</f>
        <v/>
      </c>
      <c r="L27" s="3" t="n">
        <v>2</v>
      </c>
      <c r="M27" s="3" t="n">
        <v>36</v>
      </c>
      <c r="N27" s="3" t="n">
        <v>60</v>
      </c>
      <c r="O27" s="3" t="n">
        <v>18</v>
      </c>
      <c r="P27" s="3">
        <f>N27/M27*100</f>
        <v/>
      </c>
      <c r="Q27" s="3" t="inlineStr">
        <is>
          <t>低</t>
        </is>
      </c>
      <c r="R27" s="3" t="inlineStr">
        <is>
          <t>早期阶段，进度正常</t>
        </is>
      </c>
      <c r="S27" s="3" t="n">
        <v>3</v>
      </c>
      <c r="T27" s="3" t="inlineStr">
        <is>
          <t>UAT 2025年9月</t>
        </is>
      </c>
    </row>
    <row r="28" ht="20" customHeight="1">
      <c r="A28" s="2" t="inlineStr">
        <is>
          <t>PRJ-027</t>
        </is>
      </c>
      <c r="B28" s="2" t="inlineStr">
        <is>
          <t>预测性维护</t>
        </is>
      </c>
      <c r="C28" s="2" t="inlineStr">
        <is>
          <t>陈晓雪</t>
        </is>
      </c>
      <c r="D28" s="2" t="inlineStr">
        <is>
          <t>研发部</t>
        </is>
      </c>
      <c r="E28" s="2" t="inlineStr">
        <is>
          <t>已延期</t>
        </is>
      </c>
      <c r="F28" s="2" t="inlineStr">
        <is>
          <t>高</t>
        </is>
      </c>
      <c r="G28" s="2" t="inlineStr">
        <is>
          <t>2024-11-01</t>
        </is>
      </c>
      <c r="H28" s="2" t="inlineStr">
        <is>
          <t>2025-12-31</t>
        </is>
      </c>
      <c r="I28" s="2" t="n">
        <v>7130000</v>
      </c>
      <c r="J28" s="2" t="n">
        <v>5615000</v>
      </c>
      <c r="K28" s="2">
        <f>J28/I28*100</f>
        <v/>
      </c>
      <c r="L28" s="2" t="n">
        <v>9</v>
      </c>
      <c r="M28" s="2" t="n">
        <v>16</v>
      </c>
      <c r="N28" s="2" t="n">
        <v>180</v>
      </c>
      <c r="O28" s="2" t="n">
        <v>95</v>
      </c>
      <c r="P28" s="2">
        <f>N28/M28*100</f>
        <v/>
      </c>
      <c r="Q28" s="2" t="inlineStr">
        <is>
          <t>高</t>
        </is>
      </c>
      <c r="R28" s="2" t="inlineStr">
        <is>
          <t>模型重训练循环</t>
        </is>
      </c>
      <c r="S28" s="2" t="n">
        <v>12</v>
      </c>
      <c r="T28" s="2" t="inlineStr">
        <is>
          <t>生产部署 2025年11月</t>
        </is>
      </c>
    </row>
    <row r="29" ht="20" customHeight="1">
      <c r="A29" s="3" t="inlineStr">
        <is>
          <t>PRJ-028</t>
        </is>
      </c>
      <c r="B29" s="3" t="inlineStr">
        <is>
          <t>客户360视图</t>
        </is>
      </c>
      <c r="C29" s="3" t="inlineStr">
        <is>
          <t>吴昊</t>
        </is>
      </c>
      <c r="D29" s="3" t="inlineStr">
        <is>
          <t>CRM部</t>
        </is>
      </c>
      <c r="E29" s="3" t="inlineStr">
        <is>
          <t>正常推进</t>
        </is>
      </c>
      <c r="F29" s="3" t="inlineStr">
        <is>
          <t>高</t>
        </is>
      </c>
      <c r="G29" s="3" t="inlineStr">
        <is>
          <t>2025-03-03</t>
        </is>
      </c>
      <c r="H29" s="3" t="inlineStr">
        <is>
          <t>2025-11-28</t>
        </is>
      </c>
      <c r="I29" s="3" t="n">
        <v>4825000</v>
      </c>
      <c r="J29" s="3" t="n">
        <v>1295000</v>
      </c>
      <c r="K29" s="3">
        <f>J29/I29*100</f>
        <v/>
      </c>
      <c r="L29" s="3" t="n">
        <v>3</v>
      </c>
      <c r="M29" s="3" t="n">
        <v>40</v>
      </c>
      <c r="N29" s="3" t="n">
        <v>130</v>
      </c>
      <c r="O29" s="3" t="n">
        <v>42</v>
      </c>
      <c r="P29" s="3">
        <f>N29/M29*100</f>
        <v/>
      </c>
      <c r="Q29" s="3" t="inlineStr">
        <is>
          <t>中</t>
        </is>
      </c>
      <c r="R29" s="3" t="inlineStr">
        <is>
          <t>数据质量清洗</t>
        </is>
      </c>
      <c r="S29" s="3" t="n">
        <v>8</v>
      </c>
      <c r="T29" s="3" t="inlineStr">
        <is>
          <t>集成上线 2025年10月</t>
        </is>
      </c>
    </row>
    <row r="30" ht="20" customHeight="1">
      <c r="A30" s="2" t="inlineStr">
        <is>
          <t>PRJ-029</t>
        </is>
      </c>
      <c r="B30" s="2" t="inlineStr">
        <is>
          <t>仓储机器人</t>
        </is>
      </c>
      <c r="C30" s="2" t="inlineStr">
        <is>
          <t>孙茜</t>
        </is>
      </c>
      <c r="D30" s="2" t="inlineStr">
        <is>
          <t>运营部</t>
        </is>
      </c>
      <c r="E30" s="2" t="inlineStr">
        <is>
          <t>存在风险</t>
        </is>
      </c>
      <c r="F30" s="2" t="inlineStr">
        <is>
          <t>关键</t>
        </is>
      </c>
      <c r="G30" s="2" t="inlineStr">
        <is>
          <t>2025-02-03</t>
        </is>
      </c>
      <c r="H30" s="2" t="inlineStr">
        <is>
          <t>2025-12-31</t>
        </is>
      </c>
      <c r="I30" s="2" t="n">
        <v>15120000</v>
      </c>
      <c r="J30" s="2" t="n">
        <v>7060000</v>
      </c>
      <c r="K30" s="2">
        <f>J30/I30*100</f>
        <v/>
      </c>
      <c r="L30" s="2" t="n">
        <v>5</v>
      </c>
      <c r="M30" s="2" t="n">
        <v>20</v>
      </c>
      <c r="N30" s="2" t="n">
        <v>300</v>
      </c>
      <c r="O30" s="2" t="n">
        <v>120</v>
      </c>
      <c r="P30" s="2">
        <f>N30/M30*100</f>
        <v/>
      </c>
      <c r="Q30" s="2" t="inlineStr">
        <is>
          <t>高</t>
        </is>
      </c>
      <c r="R30" s="2" t="inlineStr">
        <is>
          <t>机器人固件延迟</t>
        </is>
      </c>
      <c r="S30" s="2" t="n">
        <v>18</v>
      </c>
      <c r="T30" s="2" t="inlineStr">
        <is>
          <t>试点部署 2025年11月</t>
        </is>
      </c>
    </row>
    <row r="31" ht="20" customHeight="1">
      <c r="A31" s="3" t="inlineStr">
        <is>
          <t>PRJ-030</t>
        </is>
      </c>
      <c r="B31" s="3" t="inlineStr">
        <is>
          <t>财务报表系统</t>
        </is>
      </c>
      <c r="C31" s="3" t="inlineStr">
        <is>
          <t>李大伟</t>
        </is>
      </c>
      <c r="D31" s="3" t="inlineStr">
        <is>
          <t>财务部</t>
        </is>
      </c>
      <c r="E31" s="3" t="inlineStr">
        <is>
          <t>已完成</t>
        </is>
      </c>
      <c r="F31" s="3" t="inlineStr">
        <is>
          <t>中</t>
        </is>
      </c>
      <c r="G31" s="3" t="inlineStr">
        <is>
          <t>2025-01-06</t>
        </is>
      </c>
      <c r="H31" s="3" t="inlineStr">
        <is>
          <t>2025-03-28</t>
        </is>
      </c>
      <c r="I31" s="3" t="n">
        <v>1150000</v>
      </c>
      <c r="J31" s="3" t="n">
        <v>1140000</v>
      </c>
      <c r="K31" s="3">
        <f>J31/I31*100</f>
        <v/>
      </c>
      <c r="L31" s="3" t="n">
        <v>10</v>
      </c>
      <c r="M31" s="3" t="n">
        <v>35</v>
      </c>
      <c r="N31" s="3" t="n">
        <v>45</v>
      </c>
      <c r="O31" s="3" t="n">
        <v>45</v>
      </c>
      <c r="P31" s="3">
        <f>N31/M31*100</f>
        <v/>
      </c>
      <c r="Q31" s="3" t="inlineStr">
        <is>
          <t>低</t>
        </is>
      </c>
      <c r="R31" s="3" t="inlineStr">
        <is>
          <t>按时交付</t>
        </is>
      </c>
      <c r="S31" s="3" t="n">
        <v>3</v>
      </c>
      <c r="T31" s="3" t="inlineStr">
        <is>
          <t>已结项 2025年3月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项目总数</t>
        </is>
      </c>
      <c r="B2" s="2">
        <f>COUNTA('项目跟踪表'!A2:A32)</f>
        <v/>
      </c>
    </row>
    <row r="3">
      <c r="A3" s="3" t="inlineStr">
        <is>
          <t>正常推进</t>
        </is>
      </c>
      <c r="B3" s="3">
        <f>COUNTIF('项目跟踪表'!E2:E32,"正常推进")</f>
        <v/>
      </c>
    </row>
    <row r="4">
      <c r="A4" s="2" t="inlineStr">
        <is>
          <t>存在风险</t>
        </is>
      </c>
      <c r="B4" s="2">
        <f>COUNTIF('项目跟踪表'!E2:E32,"存在风险")</f>
        <v/>
      </c>
    </row>
    <row r="5">
      <c r="A5" s="3" t="inlineStr">
        <is>
          <t>已延期</t>
        </is>
      </c>
      <c r="B5" s="3">
        <f>COUNTIF('项目跟踪表'!E2:E32,"已延期")</f>
        <v/>
      </c>
    </row>
    <row r="6">
      <c r="A6" s="2" t="inlineStr">
        <is>
          <t>已完成</t>
        </is>
      </c>
      <c r="B6" s="2">
        <f>COUNTIF('项目跟踪表'!E2:E32,"已完成")</f>
        <v/>
      </c>
    </row>
    <row r="7">
      <c r="A7" s="3" t="inlineStr">
        <is>
          <t>总预算（元）</t>
        </is>
      </c>
      <c r="B7" s="3">
        <f>SUM('项目跟踪表'!I2:I32)</f>
        <v/>
      </c>
    </row>
    <row r="8">
      <c r="A8" s="2" t="inlineStr">
        <is>
          <t>总实际支出（元）</t>
        </is>
      </c>
      <c r="B8" s="2">
        <f>SUM('项目跟踪表'!J2:J32)</f>
        <v/>
      </c>
    </row>
    <row r="9">
      <c r="A9" s="3" t="inlineStr">
        <is>
          <t>整体预算使用率（%）</t>
        </is>
      </c>
      <c r="B9" s="3">
        <f>IFERROR(B8/B7*100,0)</f>
        <v/>
      </c>
    </row>
    <row r="10">
      <c r="A10" s="2" t="inlineStr">
        <is>
          <t>平均冲刺速度</t>
        </is>
      </c>
      <c r="B10" s="2">
        <f>AVERAGE('项目跟踪表'!M2:M32)</f>
        <v/>
      </c>
    </row>
    <row r="11">
      <c r="A11" s="3" t="inlineStr">
        <is>
          <t>平均任务完成率（%）</t>
        </is>
      </c>
      <c r="B11" s="3">
        <f>AVERAGE('项目跟踪表'!P2:P32)</f>
        <v/>
      </c>
    </row>
    <row r="12">
      <c r="A12" s="2" t="inlineStr">
        <is>
          <t>高风险项目数</t>
        </is>
      </c>
      <c r="B12" s="2">
        <f>COUNTIF('项目跟踪表'!Q2:Q32,"高")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2026-05-11T07:30:45Z</dcterms:created>
  <dcterms:modified xmlns:dcterms="http://purl.org/dc/terms/" xmlns:xsi="http://www.w3.org/2001/XMLSchema-instance" xsi:type="dcterms:W3CDTF">2026-05-11T07:30:45Z</dcterms:modified>
</cp:coreProperties>
</file>