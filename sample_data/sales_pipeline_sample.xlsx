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8" customWidth="1" min="5" max="5"/>
    <col width="16" customWidth="1" min="6" max="6"/>
    <col width="18" customWidth="1" min="7" max="7"/>
    <col width="16" customWidth="1" min="8" max="8"/>
    <col width="18" customWidth="1" min="9" max="9"/>
    <col width="18" customWidth="1" min="10" max="10"/>
    <col width="12" customWidth="1" min="11" max="11"/>
    <col width="15" customWidth="1" min="12" max="12"/>
    <col width="18" customWidth="1" min="13" max="13"/>
    <col width="16" customWidth="1" min="14" max="14"/>
    <col width="14" customWidth="1" min="15" max="15"/>
    <col width="13" customWidth="1" min="16" max="16"/>
    <col width="18" customWidth="1" min="17" max="17"/>
    <col width="28" customWidth="1" min="18" max="18"/>
  </cols>
  <sheetData>
    <row r="1" ht="32" customHeight="1">
      <c r="A1" s="1" t="inlineStr">
        <is>
          <t>Opportunity ID</t>
        </is>
      </c>
      <c r="B1" s="1" t="inlineStr">
        <is>
          <t>Account Name</t>
        </is>
      </c>
      <c r="C1" s="1" t="inlineStr">
        <is>
          <t>Sales Rep</t>
        </is>
      </c>
      <c r="D1" s="1" t="inlineStr">
        <is>
          <t>Region</t>
        </is>
      </c>
      <c r="E1" s="1" t="inlineStr">
        <is>
          <t>Product Line</t>
        </is>
      </c>
      <c r="F1" s="1" t="inlineStr">
        <is>
          <t>Deal Stage</t>
        </is>
      </c>
      <c r="G1" s="1" t="inlineStr">
        <is>
          <t>Deal Value (USD)</t>
        </is>
      </c>
      <c r="H1" s="1" t="inlineStr">
        <is>
          <t>Probability (%)</t>
        </is>
      </c>
      <c r="I1" s="1" t="inlineStr">
        <is>
          <t>Expected Close Date</t>
        </is>
      </c>
      <c r="J1" s="1" t="inlineStr">
        <is>
          <t>Actual Close Date</t>
        </is>
      </c>
      <c r="K1" s="1" t="inlineStr">
        <is>
          <t>Outcome</t>
        </is>
      </c>
      <c r="L1" s="1" t="inlineStr">
        <is>
          <t>Quota (USD)</t>
        </is>
      </c>
      <c r="M1" s="1" t="inlineStr">
        <is>
          <t>Lead Source</t>
        </is>
      </c>
      <c r="N1" s="1" t="inlineStr">
        <is>
          <t>Industry</t>
        </is>
      </c>
      <c r="O1" s="1" t="inlineStr">
        <is>
          <t>No. of Contacts</t>
        </is>
      </c>
      <c r="P1" s="1" t="inlineStr">
        <is>
          <t>Days in Stage</t>
        </is>
      </c>
      <c r="Q1" s="1" t="inlineStr">
        <is>
          <t>Last Activity Date</t>
        </is>
      </c>
      <c r="R1" s="1" t="inlineStr">
        <is>
          <t>Notes</t>
        </is>
      </c>
    </row>
    <row r="2" ht="20" customHeight="1">
      <c r="A2" s="2" t="inlineStr">
        <is>
          <t>OPP-001</t>
        </is>
      </c>
      <c r="B2" s="2" t="inlineStr">
        <is>
          <t>Apex Technologies</t>
        </is>
      </c>
      <c r="C2" s="2" t="inlineStr">
        <is>
          <t>Sarah Lin</t>
        </is>
      </c>
      <c r="D2" s="2" t="inlineStr">
        <is>
          <t>North America</t>
        </is>
      </c>
      <c r="E2" s="2" t="inlineStr">
        <is>
          <t>Enterprise Suite</t>
        </is>
      </c>
      <c r="F2" s="2" t="inlineStr">
        <is>
          <t>Closed Won</t>
        </is>
      </c>
      <c r="G2" s="2" t="n">
        <v>320000</v>
      </c>
      <c r="H2" s="2" t="n">
        <v>100</v>
      </c>
      <c r="I2" s="2" t="inlineStr">
        <is>
          <t>2025-03-15</t>
        </is>
      </c>
      <c r="J2" s="2" t="inlineStr">
        <is>
          <t>2025-03-12</t>
        </is>
      </c>
      <c r="K2" s="2" t="inlineStr">
        <is>
          <t>Won</t>
        </is>
      </c>
      <c r="L2" s="2" t="n">
        <v>300000</v>
      </c>
      <c r="M2" s="2" t="inlineStr">
        <is>
          <t>Inbound Referral</t>
        </is>
      </c>
      <c r="N2" s="2" t="inlineStr">
        <is>
          <t>Technology</t>
        </is>
      </c>
      <c r="O2" s="2" t="n">
        <v>4</v>
      </c>
      <c r="P2" s="2" t="n">
        <v>8</v>
      </c>
      <c r="Q2" s="2" t="inlineStr">
        <is>
          <t>2025-03-10</t>
        </is>
      </c>
      <c r="R2" s="2" t="inlineStr">
        <is>
          <t>Upsell opportunity in Q3</t>
        </is>
      </c>
    </row>
    <row r="3" ht="20" customHeight="1">
      <c r="A3" s="3" t="inlineStr">
        <is>
          <t>OPP-002</t>
        </is>
      </c>
      <c r="B3" s="3" t="inlineStr">
        <is>
          <t>Bright Future Bank</t>
        </is>
      </c>
      <c r="C3" s="3" t="inlineStr">
        <is>
          <t>James Carter</t>
        </is>
      </c>
      <c r="D3" s="3" t="inlineStr">
        <is>
          <t>EMEA</t>
        </is>
      </c>
      <c r="E3" s="3" t="inlineStr">
        <is>
          <t>Analytics Pro</t>
        </is>
      </c>
      <c r="F3" s="3" t="inlineStr">
        <is>
          <t>Closed Lost</t>
        </is>
      </c>
      <c r="G3" s="3" t="n">
        <v>180000</v>
      </c>
      <c r="H3" s="3" t="n">
        <v>0</v>
      </c>
      <c r="I3" s="3" t="inlineStr">
        <is>
          <t>2025-02-28</t>
        </is>
      </c>
      <c r="J3" s="3" t="inlineStr">
        <is>
          <t>2025-02-25</t>
        </is>
      </c>
      <c r="K3" s="3" t="inlineStr">
        <is>
          <t>Lost</t>
        </is>
      </c>
      <c r="L3" s="3" t="n">
        <v>250000</v>
      </c>
      <c r="M3" s="3" t="inlineStr">
        <is>
          <t>Cold Outreach</t>
        </is>
      </c>
      <c r="N3" s="3" t="inlineStr">
        <is>
          <t>Finance</t>
        </is>
      </c>
      <c r="O3" s="3" t="n">
        <v>2</v>
      </c>
      <c r="P3" s="3" t="n">
        <v>22</v>
      </c>
      <c r="Q3" s="3" t="inlineStr">
        <is>
          <t>2025-02-20</t>
        </is>
      </c>
      <c r="R3" s="3" t="inlineStr">
        <is>
          <t>Lost to competitor pricing</t>
        </is>
      </c>
    </row>
    <row r="4" ht="20" customHeight="1">
      <c r="A4" s="2" t="inlineStr">
        <is>
          <t>OPP-003</t>
        </is>
      </c>
      <c r="B4" s="2" t="inlineStr">
        <is>
          <t>CloudNine Inc.</t>
        </is>
      </c>
      <c r="C4" s="2" t="inlineStr">
        <is>
          <t>Emily Zhou</t>
        </is>
      </c>
      <c r="D4" s="2" t="inlineStr">
        <is>
          <t>APAC</t>
        </is>
      </c>
      <c r="E4" s="2" t="inlineStr">
        <is>
          <t>Enterprise Suite</t>
        </is>
      </c>
      <c r="F4" s="2" t="inlineStr">
        <is>
          <t>Closed Won</t>
        </is>
      </c>
      <c r="G4" s="2" t="n">
        <v>450000</v>
      </c>
      <c r="H4" s="2" t="n">
        <v>100</v>
      </c>
      <c r="I4" s="2" t="inlineStr">
        <is>
          <t>2025-04-10</t>
        </is>
      </c>
      <c r="J4" s="2" t="inlineStr">
        <is>
          <t>2025-04-08</t>
        </is>
      </c>
      <c r="K4" s="2" t="inlineStr">
        <is>
          <t>Won</t>
        </is>
      </c>
      <c r="L4" s="2" t="n">
        <v>400000</v>
      </c>
      <c r="M4" s="2" t="inlineStr">
        <is>
          <t>Partner Referral</t>
        </is>
      </c>
      <c r="N4" s="2" t="inlineStr">
        <is>
          <t>Technology</t>
        </is>
      </c>
      <c r="O4" s="2" t="n">
        <v>6</v>
      </c>
      <c r="P4" s="2" t="n">
        <v>14</v>
      </c>
      <c r="Q4" s="2" t="inlineStr">
        <is>
          <t>2025-04-05</t>
        </is>
      </c>
      <c r="R4" s="2" t="inlineStr">
        <is>
          <t>Multi-year contract signed</t>
        </is>
      </c>
    </row>
    <row r="5" ht="20" customHeight="1">
      <c r="A5" s="3" t="inlineStr">
        <is>
          <t>OPP-004</t>
        </is>
      </c>
      <c r="B5" s="3" t="inlineStr">
        <is>
          <t>Delta Logistics</t>
        </is>
      </c>
      <c r="C5" s="3" t="inlineStr">
        <is>
          <t>Tom Park</t>
        </is>
      </c>
      <c r="D5" s="3" t="inlineStr">
        <is>
          <t>North America</t>
        </is>
      </c>
      <c r="E5" s="3" t="inlineStr">
        <is>
          <t>Starter Pack</t>
        </is>
      </c>
      <c r="F5" s="3" t="inlineStr">
        <is>
          <t>Negotiation</t>
        </is>
      </c>
      <c r="G5" s="3" t="n">
        <v>95000</v>
      </c>
      <c r="H5" s="3" t="n">
        <v>70</v>
      </c>
      <c r="I5" s="3" t="inlineStr">
        <is>
          <t>2025-05-30</t>
        </is>
      </c>
      <c r="J5" s="3" t="inlineStr"/>
      <c r="K5" s="3" t="inlineStr">
        <is>
          <t>In Progress</t>
        </is>
      </c>
      <c r="L5" s="3" t="n">
        <v>120000</v>
      </c>
      <c r="M5" s="3" t="inlineStr">
        <is>
          <t>Trade Show</t>
        </is>
      </c>
      <c r="N5" s="3" t="inlineStr">
        <is>
          <t>Logistics</t>
        </is>
      </c>
      <c r="O5" s="3" t="n">
        <v>3</v>
      </c>
      <c r="P5" s="3" t="n">
        <v>18</v>
      </c>
      <c r="Q5" s="3" t="inlineStr">
        <is>
          <t>2025-05-10</t>
        </is>
      </c>
      <c r="R5" s="3" t="inlineStr">
        <is>
          <t>Discount requested</t>
        </is>
      </c>
    </row>
    <row r="6" ht="20" customHeight="1">
      <c r="A6" s="2" t="inlineStr">
        <is>
          <t>OPP-005</t>
        </is>
      </c>
      <c r="B6" s="2" t="inlineStr">
        <is>
          <t>Echo Pharma</t>
        </is>
      </c>
      <c r="C6" s="2" t="inlineStr">
        <is>
          <t>Linda Zhao</t>
        </is>
      </c>
      <c r="D6" s="2" t="inlineStr">
        <is>
          <t>North America</t>
        </is>
      </c>
      <c r="E6" s="2" t="inlineStr">
        <is>
          <t>Analytics Pro</t>
        </is>
      </c>
      <c r="F6" s="2" t="inlineStr">
        <is>
          <t>Proposal Sent</t>
        </is>
      </c>
      <c r="G6" s="2" t="n">
        <v>210000</v>
      </c>
      <c r="H6" s="2" t="n">
        <v>55</v>
      </c>
      <c r="I6" s="2" t="inlineStr">
        <is>
          <t>2025-06-15</t>
        </is>
      </c>
      <c r="J6" s="2" t="inlineStr"/>
      <c r="K6" s="2" t="inlineStr">
        <is>
          <t>In Progress</t>
        </is>
      </c>
      <c r="L6" s="2" t="n">
        <v>200000</v>
      </c>
      <c r="M6" s="2" t="inlineStr">
        <is>
          <t>Inbound Web</t>
        </is>
      </c>
      <c r="N6" s="2" t="inlineStr">
        <is>
          <t>Healthcare</t>
        </is>
      </c>
      <c r="O6" s="2" t="n">
        <v>5</v>
      </c>
      <c r="P6" s="2" t="n">
        <v>11</v>
      </c>
      <c r="Q6" s="2" t="inlineStr">
        <is>
          <t>2025-05-20</t>
        </is>
      </c>
      <c r="R6" s="2" t="inlineStr">
        <is>
          <t>Awaiting procurement approval</t>
        </is>
      </c>
    </row>
    <row r="7" ht="20" customHeight="1">
      <c r="A7" s="3" t="inlineStr">
        <is>
          <t>OPP-006</t>
        </is>
      </c>
      <c r="B7" s="3" t="inlineStr">
        <is>
          <t>FortressBank</t>
        </is>
      </c>
      <c r="C7" s="3" t="inlineStr">
        <is>
          <t>James Carter</t>
        </is>
      </c>
      <c r="D7" s="3" t="inlineStr">
        <is>
          <t>EMEA</t>
        </is>
      </c>
      <c r="E7" s="3" t="inlineStr">
        <is>
          <t>Compliance Module</t>
        </is>
      </c>
      <c r="F7" s="3" t="inlineStr">
        <is>
          <t>Closed Won</t>
        </is>
      </c>
      <c r="G7" s="3" t="n">
        <v>275000</v>
      </c>
      <c r="H7" s="3" t="n">
        <v>100</v>
      </c>
      <c r="I7" s="3" t="inlineStr">
        <is>
          <t>2025-03-20</t>
        </is>
      </c>
      <c r="J7" s="3" t="inlineStr">
        <is>
          <t>2025-03-18</t>
        </is>
      </c>
      <c r="K7" s="3" t="inlineStr">
        <is>
          <t>Won</t>
        </is>
      </c>
      <c r="L7" s="3" t="n">
        <v>250000</v>
      </c>
      <c r="M7" s="3" t="inlineStr">
        <is>
          <t>Partner Referral</t>
        </is>
      </c>
      <c r="N7" s="3" t="inlineStr">
        <is>
          <t>Finance</t>
        </is>
      </c>
      <c r="O7" s="3" t="n">
        <v>3</v>
      </c>
      <c r="P7" s="3" t="n">
        <v>9</v>
      </c>
      <c r="Q7" s="3" t="inlineStr">
        <is>
          <t>2025-03-15</t>
        </is>
      </c>
      <c r="R7" s="3" t="inlineStr">
        <is>
          <t>Added security add-on</t>
        </is>
      </c>
    </row>
    <row r="8" ht="20" customHeight="1">
      <c r="A8" s="2" t="inlineStr">
        <is>
          <t>OPP-007</t>
        </is>
      </c>
      <c r="B8" s="2" t="inlineStr">
        <is>
          <t>GreenPath Energy</t>
        </is>
      </c>
      <c r="C8" s="2" t="inlineStr">
        <is>
          <t>Sarah Lin</t>
        </is>
      </c>
      <c r="D8" s="2" t="inlineStr">
        <is>
          <t>North America</t>
        </is>
      </c>
      <c r="E8" s="2" t="inlineStr">
        <is>
          <t>Starter Pack</t>
        </is>
      </c>
      <c r="F8" s="2" t="inlineStr">
        <is>
          <t>Discovery</t>
        </is>
      </c>
      <c r="G8" s="2" t="n">
        <v>60000</v>
      </c>
      <c r="H8" s="2" t="n">
        <v>30</v>
      </c>
      <c r="I8" s="2" t="inlineStr">
        <is>
          <t>2025-07-01</t>
        </is>
      </c>
      <c r="J8" s="2" t="inlineStr"/>
      <c r="K8" s="2" t="inlineStr">
        <is>
          <t>In Progress</t>
        </is>
      </c>
      <c r="L8" s="2" t="n">
        <v>100000</v>
      </c>
      <c r="M8" s="2" t="inlineStr">
        <is>
          <t>LinkedIn Ad</t>
        </is>
      </c>
      <c r="N8" s="2" t="inlineStr">
        <is>
          <t>Energy</t>
        </is>
      </c>
      <c r="O8" s="2" t="n">
        <v>2</v>
      </c>
      <c r="P8" s="2" t="n">
        <v>5</v>
      </c>
      <c r="Q8" s="2" t="inlineStr">
        <is>
          <t>2025-05-25</t>
        </is>
      </c>
      <c r="R8" s="2" t="inlineStr">
        <is>
          <t>Early stage, needs nurturing</t>
        </is>
      </c>
    </row>
    <row r="9" ht="20" customHeight="1">
      <c r="A9" s="3" t="inlineStr">
        <is>
          <t>OPP-008</t>
        </is>
      </c>
      <c r="B9" s="3" t="inlineStr">
        <is>
          <t>HealthFirst Group</t>
        </is>
      </c>
      <c r="C9" s="3" t="inlineStr">
        <is>
          <t>Emily Zhou</t>
        </is>
      </c>
      <c r="D9" s="3" t="inlineStr">
        <is>
          <t>APAC</t>
        </is>
      </c>
      <c r="E9" s="3" t="inlineStr">
        <is>
          <t>Enterprise Suite</t>
        </is>
      </c>
      <c r="F9" s="3" t="inlineStr">
        <is>
          <t>Closed Won</t>
        </is>
      </c>
      <c r="G9" s="3" t="n">
        <v>510000</v>
      </c>
      <c r="H9" s="3" t="n">
        <v>100</v>
      </c>
      <c r="I9" s="3" t="inlineStr">
        <is>
          <t>2025-04-30</t>
        </is>
      </c>
      <c r="J9" s="3" t="inlineStr">
        <is>
          <t>2025-04-28</t>
        </is>
      </c>
      <c r="K9" s="3" t="inlineStr">
        <is>
          <t>Won</t>
        </is>
      </c>
      <c r="L9" s="3" t="n">
        <v>500000</v>
      </c>
      <c r="M9" s="3" t="inlineStr">
        <is>
          <t>Executive Referral</t>
        </is>
      </c>
      <c r="N9" s="3" t="inlineStr">
        <is>
          <t>Healthcare</t>
        </is>
      </c>
      <c r="O9" s="3" t="n">
        <v>7</v>
      </c>
      <c r="P9" s="3" t="n">
        <v>12</v>
      </c>
      <c r="Q9" s="3" t="inlineStr">
        <is>
          <t>2025-04-22</t>
        </is>
      </c>
      <c r="R9" s="3" t="inlineStr">
        <is>
          <t>Largest deal of Q1 APAC</t>
        </is>
      </c>
    </row>
    <row r="10" ht="20" customHeight="1">
      <c r="A10" s="2" t="inlineStr">
        <is>
          <t>OPP-009</t>
        </is>
      </c>
      <c r="B10" s="2" t="inlineStr">
        <is>
          <t>Ironworks Mfg</t>
        </is>
      </c>
      <c r="C10" s="2" t="inlineStr">
        <is>
          <t>Tom Park</t>
        </is>
      </c>
      <c r="D10" s="2" t="inlineStr">
        <is>
          <t>North America</t>
        </is>
      </c>
      <c r="E10" s="2" t="inlineStr">
        <is>
          <t>Analytics Pro</t>
        </is>
      </c>
      <c r="F10" s="2" t="inlineStr">
        <is>
          <t>Closed Lost</t>
        </is>
      </c>
      <c r="G10" s="2" t="n">
        <v>140000</v>
      </c>
      <c r="H10" s="2" t="n">
        <v>0</v>
      </c>
      <c r="I10" s="2" t="inlineStr">
        <is>
          <t>2025-01-31</t>
        </is>
      </c>
      <c r="J10" s="2" t="inlineStr">
        <is>
          <t>2025-01-29</t>
        </is>
      </c>
      <c r="K10" s="2" t="inlineStr">
        <is>
          <t>Lost</t>
        </is>
      </c>
      <c r="L10" s="2" t="n">
        <v>150000</v>
      </c>
      <c r="M10" s="2" t="inlineStr">
        <is>
          <t>Cold Outreach</t>
        </is>
      </c>
      <c r="N10" s="2" t="inlineStr">
        <is>
          <t>Manufacturing</t>
        </is>
      </c>
      <c r="O10" s="2" t="n">
        <v>2</v>
      </c>
      <c r="P10" s="2" t="n">
        <v>30</v>
      </c>
      <c r="Q10" s="2" t="inlineStr">
        <is>
          <t>2025-01-25</t>
        </is>
      </c>
      <c r="R10" s="2" t="inlineStr">
        <is>
          <t>Budget freeze</t>
        </is>
      </c>
    </row>
    <row r="11" ht="20" customHeight="1">
      <c r="A11" s="3" t="inlineStr">
        <is>
          <t>OPP-010</t>
        </is>
      </c>
      <c r="B11" s="3" t="inlineStr">
        <is>
          <t>JetBlue Media</t>
        </is>
      </c>
      <c r="C11" s="3" t="inlineStr">
        <is>
          <t>Linda Zhao</t>
        </is>
      </c>
      <c r="D11" s="3" t="inlineStr">
        <is>
          <t>North America</t>
        </is>
      </c>
      <c r="E11" s="3" t="inlineStr">
        <is>
          <t>Starter Pack</t>
        </is>
      </c>
      <c r="F11" s="3" t="inlineStr">
        <is>
          <t>Negotiation</t>
        </is>
      </c>
      <c r="G11" s="3" t="n">
        <v>85000</v>
      </c>
      <c r="H11" s="3" t="n">
        <v>65</v>
      </c>
      <c r="I11" s="3" t="inlineStr">
        <is>
          <t>2025-06-30</t>
        </is>
      </c>
      <c r="J11" s="3" t="inlineStr"/>
      <c r="K11" s="3" t="inlineStr">
        <is>
          <t>In Progress</t>
        </is>
      </c>
      <c r="L11" s="3" t="n">
        <v>100000</v>
      </c>
      <c r="M11" s="3" t="inlineStr">
        <is>
          <t>Inbound Web</t>
        </is>
      </c>
      <c r="N11" s="3" t="inlineStr">
        <is>
          <t>Media</t>
        </is>
      </c>
      <c r="O11" s="3" t="n">
        <v>3</v>
      </c>
      <c r="P11" s="3" t="n">
        <v>15</v>
      </c>
      <c r="Q11" s="3" t="inlineStr">
        <is>
          <t>2025-05-28</t>
        </is>
      </c>
      <c r="R11" s="3" t="inlineStr">
        <is>
          <t>Legal review ongoing</t>
        </is>
      </c>
    </row>
    <row r="12" ht="20" customHeight="1">
      <c r="A12" s="2" t="inlineStr">
        <is>
          <t>OPP-011</t>
        </is>
      </c>
      <c r="B12" s="2" t="inlineStr">
        <is>
          <t>Kestrel Retail</t>
        </is>
      </c>
      <c r="C12" s="2" t="inlineStr">
        <is>
          <t>Sarah Lin</t>
        </is>
      </c>
      <c r="D12" s="2" t="inlineStr">
        <is>
          <t>North America</t>
        </is>
      </c>
      <c r="E12" s="2" t="inlineStr">
        <is>
          <t>Analytics Pro</t>
        </is>
      </c>
      <c r="F12" s="2" t="inlineStr">
        <is>
          <t>Proposal Sent</t>
        </is>
      </c>
      <c r="G12" s="2" t="n">
        <v>165000</v>
      </c>
      <c r="H12" s="2" t="n">
        <v>50</v>
      </c>
      <c r="I12" s="2" t="inlineStr">
        <is>
          <t>2025-07-15</t>
        </is>
      </c>
      <c r="J12" s="2" t="inlineStr"/>
      <c r="K12" s="2" t="inlineStr">
        <is>
          <t>In Progress</t>
        </is>
      </c>
      <c r="L12" s="2" t="n">
        <v>180000</v>
      </c>
      <c r="M12" s="2" t="inlineStr">
        <is>
          <t>Trade Show</t>
        </is>
      </c>
      <c r="N12" s="2" t="inlineStr">
        <is>
          <t>Retail</t>
        </is>
      </c>
      <c r="O12" s="2" t="n">
        <v>4</v>
      </c>
      <c r="P12" s="2" t="n">
        <v>9</v>
      </c>
      <c r="Q12" s="2" t="inlineStr">
        <is>
          <t>2025-06-01</t>
        </is>
      </c>
      <c r="R12" s="2" t="inlineStr">
        <is>
          <t>Competitive bake-off</t>
        </is>
      </c>
    </row>
    <row r="13" ht="20" customHeight="1">
      <c r="A13" s="3" t="inlineStr">
        <is>
          <t>OPP-012</t>
        </is>
      </c>
      <c r="B13" s="3" t="inlineStr">
        <is>
          <t>LumaHealth AI</t>
        </is>
      </c>
      <c r="C13" s="3" t="inlineStr">
        <is>
          <t>Emily Zhou</t>
        </is>
      </c>
      <c r="D13" s="3" t="inlineStr">
        <is>
          <t>APAC</t>
        </is>
      </c>
      <c r="E13" s="3" t="inlineStr">
        <is>
          <t>Enterprise Suite</t>
        </is>
      </c>
      <c r="F13" s="3" t="inlineStr">
        <is>
          <t>Closed Won</t>
        </is>
      </c>
      <c r="G13" s="3" t="n">
        <v>390000</v>
      </c>
      <c r="H13" s="3" t="n">
        <v>100</v>
      </c>
      <c r="I13" s="3" t="inlineStr">
        <is>
          <t>2025-05-10</t>
        </is>
      </c>
      <c r="J13" s="3" t="inlineStr">
        <is>
          <t>2025-05-08</t>
        </is>
      </c>
      <c r="K13" s="3" t="inlineStr">
        <is>
          <t>Won</t>
        </is>
      </c>
      <c r="L13" s="3" t="n">
        <v>350000</v>
      </c>
      <c r="M13" s="3" t="inlineStr">
        <is>
          <t>Partner Referral</t>
        </is>
      </c>
      <c r="N13" s="3" t="inlineStr">
        <is>
          <t>Healthcare</t>
        </is>
      </c>
      <c r="O13" s="3" t="n">
        <v>5</v>
      </c>
      <c r="P13" s="3" t="n">
        <v>11</v>
      </c>
      <c r="Q13" s="3" t="inlineStr">
        <is>
          <t>2025-05-03</t>
        </is>
      </c>
      <c r="R13" s="3" t="inlineStr">
        <is>
          <t>3-year term</t>
        </is>
      </c>
    </row>
    <row r="14" ht="20" customHeight="1">
      <c r="A14" s="2" t="inlineStr">
        <is>
          <t>OPP-013</t>
        </is>
      </c>
      <c r="B14" s="2" t="inlineStr">
        <is>
          <t>MegaTransit Corp</t>
        </is>
      </c>
      <c r="C14" s="2" t="inlineStr">
        <is>
          <t>James Carter</t>
        </is>
      </c>
      <c r="D14" s="2" t="inlineStr">
        <is>
          <t>EMEA</t>
        </is>
      </c>
      <c r="E14" s="2" t="inlineStr">
        <is>
          <t>Compliance Module</t>
        </is>
      </c>
      <c r="F14" s="2" t="inlineStr">
        <is>
          <t>Discovery</t>
        </is>
      </c>
      <c r="G14" s="2" t="n">
        <v>120000</v>
      </c>
      <c r="H14" s="2" t="n">
        <v>25</v>
      </c>
      <c r="I14" s="2" t="inlineStr">
        <is>
          <t>2025-08-01</t>
        </is>
      </c>
      <c r="J14" s="2" t="inlineStr"/>
      <c r="K14" s="2" t="inlineStr">
        <is>
          <t>In Progress</t>
        </is>
      </c>
      <c r="L14" s="2" t="n">
        <v>150000</v>
      </c>
      <c r="M14" s="2" t="inlineStr">
        <is>
          <t>LinkedIn Ad</t>
        </is>
      </c>
      <c r="N14" s="2" t="inlineStr">
        <is>
          <t>Transportation</t>
        </is>
      </c>
      <c r="O14" s="2" t="n">
        <v>2</v>
      </c>
      <c r="P14" s="2" t="n">
        <v>4</v>
      </c>
      <c r="Q14" s="2" t="inlineStr">
        <is>
          <t>2025-06-05</t>
        </is>
      </c>
      <c r="R14" s="2" t="inlineStr">
        <is>
          <t>Initial demo scheduled</t>
        </is>
      </c>
    </row>
    <row r="15" ht="20" customHeight="1">
      <c r="A15" s="3" t="inlineStr">
        <is>
          <t>OPP-014</t>
        </is>
      </c>
      <c r="B15" s="3" t="inlineStr">
        <is>
          <t>Nexus Capital</t>
        </is>
      </c>
      <c r="C15" s="3" t="inlineStr">
        <is>
          <t>Tom Park</t>
        </is>
      </c>
      <c r="D15" s="3" t="inlineStr">
        <is>
          <t>North America</t>
        </is>
      </c>
      <c r="E15" s="3" t="inlineStr">
        <is>
          <t>Enterprise Suite</t>
        </is>
      </c>
      <c r="F15" s="3" t="inlineStr">
        <is>
          <t>Closed Won</t>
        </is>
      </c>
      <c r="G15" s="3" t="n">
        <v>480000</v>
      </c>
      <c r="H15" s="3" t="n">
        <v>100</v>
      </c>
      <c r="I15" s="3" t="inlineStr">
        <is>
          <t>2025-02-14</t>
        </is>
      </c>
      <c r="J15" s="3" t="inlineStr">
        <is>
          <t>2025-02-12</t>
        </is>
      </c>
      <c r="K15" s="3" t="inlineStr">
        <is>
          <t>Won</t>
        </is>
      </c>
      <c r="L15" s="3" t="n">
        <v>450000</v>
      </c>
      <c r="M15" s="3" t="inlineStr">
        <is>
          <t>Executive Referral</t>
        </is>
      </c>
      <c r="N15" s="3" t="inlineStr">
        <is>
          <t>Finance</t>
        </is>
      </c>
      <c r="O15" s="3" t="n">
        <v>6</v>
      </c>
      <c r="P15" s="3" t="n">
        <v>10</v>
      </c>
      <c r="Q15" s="3" t="inlineStr">
        <is>
          <t>2025-02-08</t>
        </is>
      </c>
      <c r="R15" s="3" t="inlineStr">
        <is>
          <t>Q1 flagship deal</t>
        </is>
      </c>
    </row>
    <row r="16" ht="20" customHeight="1">
      <c r="A16" s="2" t="inlineStr">
        <is>
          <t>OPP-015</t>
        </is>
      </c>
      <c r="B16" s="2" t="inlineStr">
        <is>
          <t>OceanPort Shipping</t>
        </is>
      </c>
      <c r="C16" s="2" t="inlineStr">
        <is>
          <t>Linda Zhao</t>
        </is>
      </c>
      <c r="D16" s="2" t="inlineStr">
        <is>
          <t>APAC</t>
        </is>
      </c>
      <c r="E16" s="2" t="inlineStr">
        <is>
          <t>Starter Pack</t>
        </is>
      </c>
      <c r="F16" s="2" t="inlineStr">
        <is>
          <t>Proposal Sent</t>
        </is>
      </c>
      <c r="G16" s="2" t="n">
        <v>75000</v>
      </c>
      <c r="H16" s="2" t="n">
        <v>45</v>
      </c>
      <c r="I16" s="2" t="inlineStr">
        <is>
          <t>2025-06-20</t>
        </is>
      </c>
      <c r="J16" s="2" t="inlineStr"/>
      <c r="K16" s="2" t="inlineStr">
        <is>
          <t>In Progress</t>
        </is>
      </c>
      <c r="L16" s="2" t="n">
        <v>80000</v>
      </c>
      <c r="M16" s="2" t="inlineStr">
        <is>
          <t>Inbound Referral</t>
        </is>
      </c>
      <c r="N16" s="2" t="inlineStr">
        <is>
          <t>Logistics</t>
        </is>
      </c>
      <c r="O16" s="2" t="n">
        <v>2</v>
      </c>
      <c r="P16" s="2" t="n">
        <v>14</v>
      </c>
      <c r="Q16" s="2" t="inlineStr">
        <is>
          <t>2025-05-30</t>
        </is>
      </c>
      <c r="R16" s="2" t="inlineStr">
        <is>
          <t>Price sensitivity</t>
        </is>
      </c>
    </row>
    <row r="17" ht="20" customHeight="1">
      <c r="A17" s="3" t="inlineStr">
        <is>
          <t>OPP-016</t>
        </is>
      </c>
      <c r="B17" s="3" t="inlineStr">
        <is>
          <t>PrecisionAero</t>
        </is>
      </c>
      <c r="C17" s="3" t="inlineStr">
        <is>
          <t>Sarah Lin</t>
        </is>
      </c>
      <c r="D17" s="3" t="inlineStr">
        <is>
          <t>North America</t>
        </is>
      </c>
      <c r="E17" s="3" t="inlineStr">
        <is>
          <t>Analytics Pro</t>
        </is>
      </c>
      <c r="F17" s="3" t="inlineStr">
        <is>
          <t>Negotiation</t>
        </is>
      </c>
      <c r="G17" s="3" t="n">
        <v>230000</v>
      </c>
      <c r="H17" s="3" t="n">
        <v>75</v>
      </c>
      <c r="I17" s="3" t="inlineStr">
        <is>
          <t>2025-07-31</t>
        </is>
      </c>
      <c r="J17" s="3" t="inlineStr"/>
      <c r="K17" s="3" t="inlineStr">
        <is>
          <t>In Progress</t>
        </is>
      </c>
      <c r="L17" s="3" t="n">
        <v>220000</v>
      </c>
      <c r="M17" s="3" t="inlineStr">
        <is>
          <t>Trade Show</t>
        </is>
      </c>
      <c r="N17" s="3" t="inlineStr">
        <is>
          <t>Aerospace</t>
        </is>
      </c>
      <c r="O17" s="3" t="n">
        <v>4</v>
      </c>
      <c r="P17" s="3" t="n">
        <v>20</v>
      </c>
      <c r="Q17" s="3" t="inlineStr">
        <is>
          <t>2025-06-10</t>
        </is>
      </c>
      <c r="R17" s="3" t="inlineStr">
        <is>
          <t>Pilot POC complete</t>
        </is>
      </c>
    </row>
    <row r="18" ht="20" customHeight="1">
      <c r="A18" s="2" t="inlineStr">
        <is>
          <t>OPP-017</t>
        </is>
      </c>
      <c r="B18" s="2" t="inlineStr">
        <is>
          <t>Quantum Dynamics</t>
        </is>
      </c>
      <c r="C18" s="2" t="inlineStr">
        <is>
          <t>Emily Zhou</t>
        </is>
      </c>
      <c r="D18" s="2" t="inlineStr">
        <is>
          <t>APAC</t>
        </is>
      </c>
      <c r="E18" s="2" t="inlineStr">
        <is>
          <t>Enterprise Suite</t>
        </is>
      </c>
      <c r="F18" s="2" t="inlineStr">
        <is>
          <t>Closed Won</t>
        </is>
      </c>
      <c r="G18" s="2" t="n">
        <v>620000</v>
      </c>
      <c r="H18" s="2" t="n">
        <v>100</v>
      </c>
      <c r="I18" s="2" t="inlineStr">
        <is>
          <t>2025-05-25</t>
        </is>
      </c>
      <c r="J18" s="2" t="inlineStr">
        <is>
          <t>2025-05-22</t>
        </is>
      </c>
      <c r="K18" s="2" t="inlineStr">
        <is>
          <t>Won</t>
        </is>
      </c>
      <c r="L18" s="2" t="n">
        <v>600000</v>
      </c>
      <c r="M18" s="2" t="inlineStr">
        <is>
          <t>Partner Referral</t>
        </is>
      </c>
      <c r="N18" s="2" t="inlineStr">
        <is>
          <t>Technology</t>
        </is>
      </c>
      <c r="O18" s="2" t="n">
        <v>8</v>
      </c>
      <c r="P18" s="2" t="n">
        <v>13</v>
      </c>
      <c r="Q18" s="2" t="inlineStr">
        <is>
          <t>2025-05-18</t>
        </is>
      </c>
      <c r="R18" s="2" t="inlineStr">
        <is>
          <t>Record APAC deal</t>
        </is>
      </c>
    </row>
    <row r="19" ht="20" customHeight="1">
      <c r="A19" s="3" t="inlineStr">
        <is>
          <t>OPP-018</t>
        </is>
      </c>
      <c r="B19" s="3" t="inlineStr">
        <is>
          <t>RealtyPlus</t>
        </is>
      </c>
      <c r="C19" s="3" t="inlineStr">
        <is>
          <t>James Carter</t>
        </is>
      </c>
      <c r="D19" s="3" t="inlineStr">
        <is>
          <t>EMEA</t>
        </is>
      </c>
      <c r="E19" s="3" t="inlineStr">
        <is>
          <t>Starter Pack</t>
        </is>
      </c>
      <c r="F19" s="3" t="inlineStr">
        <is>
          <t>Closed Lost</t>
        </is>
      </c>
      <c r="G19" s="3" t="n">
        <v>55000</v>
      </c>
      <c r="H19" s="3" t="n">
        <v>0</v>
      </c>
      <c r="I19" s="3" t="inlineStr">
        <is>
          <t>2025-03-10</t>
        </is>
      </c>
      <c r="J19" s="3" t="inlineStr">
        <is>
          <t>2025-03-07</t>
        </is>
      </c>
      <c r="K19" s="3" t="inlineStr">
        <is>
          <t>Lost</t>
        </is>
      </c>
      <c r="L19" s="3" t="n">
        <v>80000</v>
      </c>
      <c r="M19" s="3" t="inlineStr">
        <is>
          <t>Inbound Web</t>
        </is>
      </c>
      <c r="N19" s="3" t="inlineStr">
        <is>
          <t>Real Estate</t>
        </is>
      </c>
      <c r="O19" s="3" t="n">
        <v>1</v>
      </c>
      <c r="P19" s="3" t="n">
        <v>25</v>
      </c>
      <c r="Q19" s="3" t="inlineStr">
        <is>
          <t>2025-03-01</t>
        </is>
      </c>
      <c r="R19" s="3" t="inlineStr">
        <is>
          <t>Chose free competitor</t>
        </is>
      </c>
    </row>
    <row r="20" ht="20" customHeight="1">
      <c r="A20" s="2" t="inlineStr">
        <is>
          <t>OPP-019</t>
        </is>
      </c>
      <c r="B20" s="2" t="inlineStr">
        <is>
          <t>SilverPath Edu</t>
        </is>
      </c>
      <c r="C20" s="2" t="inlineStr">
        <is>
          <t>Tom Park</t>
        </is>
      </c>
      <c r="D20" s="2" t="inlineStr">
        <is>
          <t>North America</t>
        </is>
      </c>
      <c r="E20" s="2" t="inlineStr">
        <is>
          <t>Analytics Pro</t>
        </is>
      </c>
      <c r="F20" s="2" t="inlineStr">
        <is>
          <t>Proposal Sent</t>
        </is>
      </c>
      <c r="G20" s="2" t="n">
        <v>195000</v>
      </c>
      <c r="H20" s="2" t="n">
        <v>60</v>
      </c>
      <c r="I20" s="2" t="inlineStr">
        <is>
          <t>2025-07-10</t>
        </is>
      </c>
      <c r="J20" s="2" t="inlineStr"/>
      <c r="K20" s="2" t="inlineStr">
        <is>
          <t>In Progress</t>
        </is>
      </c>
      <c r="L20" s="2" t="n">
        <v>200000</v>
      </c>
      <c r="M20" s="2" t="inlineStr">
        <is>
          <t>Partner Referral</t>
        </is>
      </c>
      <c r="N20" s="2" t="inlineStr">
        <is>
          <t>Education</t>
        </is>
      </c>
      <c r="O20" s="2" t="n">
        <v>3</v>
      </c>
      <c r="P20" s="2" t="n">
        <v>7</v>
      </c>
      <c r="Q20" s="2" t="inlineStr">
        <is>
          <t>2025-06-08</t>
        </is>
      </c>
      <c r="R20" s="2" t="inlineStr">
        <is>
          <t>Waiting for board sign-off</t>
        </is>
      </c>
    </row>
    <row r="21" ht="20" customHeight="1">
      <c r="A21" s="3" t="inlineStr">
        <is>
          <t>OPP-020</t>
        </is>
      </c>
      <c r="B21" s="3" t="inlineStr">
        <is>
          <t>TrueNorth Mining</t>
        </is>
      </c>
      <c r="C21" s="3" t="inlineStr">
        <is>
          <t>Linda Zhao</t>
        </is>
      </c>
      <c r="D21" s="3" t="inlineStr">
        <is>
          <t>North America</t>
        </is>
      </c>
      <c r="E21" s="3" t="inlineStr">
        <is>
          <t>Compliance Module</t>
        </is>
      </c>
      <c r="F21" s="3" t="inlineStr">
        <is>
          <t>Discovery</t>
        </is>
      </c>
      <c r="G21" s="3" t="n">
        <v>150000</v>
      </c>
      <c r="H21" s="3" t="n">
        <v>20</v>
      </c>
      <c r="I21" s="3" t="inlineStr">
        <is>
          <t>2025-09-01</t>
        </is>
      </c>
      <c r="J21" s="3" t="inlineStr"/>
      <c r="K21" s="3" t="inlineStr">
        <is>
          <t>In Progress</t>
        </is>
      </c>
      <c r="L21" s="3" t="n">
        <v>160000</v>
      </c>
      <c r="M21" s="3" t="inlineStr">
        <is>
          <t>Cold Outreach</t>
        </is>
      </c>
      <c r="N21" s="3" t="inlineStr">
        <is>
          <t>Mining</t>
        </is>
      </c>
      <c r="O21" s="3" t="n">
        <v>2</v>
      </c>
      <c r="P21" s="3" t="n">
        <v>3</v>
      </c>
      <c r="Q21" s="3" t="inlineStr">
        <is>
          <t>2025-06-12</t>
        </is>
      </c>
      <c r="R21" s="3" t="inlineStr">
        <is>
          <t>Very early, needs qualification</t>
        </is>
      </c>
    </row>
    <row r="22" ht="20" customHeight="1">
      <c r="A22" s="2" t="inlineStr">
        <is>
          <t>OPP-021</t>
        </is>
      </c>
      <c r="B22" s="2" t="inlineStr">
        <is>
          <t>UniqueFinance</t>
        </is>
      </c>
      <c r="C22" s="2" t="inlineStr">
        <is>
          <t>Sarah Lin</t>
        </is>
      </c>
      <c r="D22" s="2" t="inlineStr">
        <is>
          <t>EMEA</t>
        </is>
      </c>
      <c r="E22" s="2" t="inlineStr">
        <is>
          <t>Analytics Pro</t>
        </is>
      </c>
      <c r="F22" s="2" t="inlineStr">
        <is>
          <t>Closed Won</t>
        </is>
      </c>
      <c r="G22" s="2" t="n">
        <v>265000</v>
      </c>
      <c r="H22" s="2" t="n">
        <v>100</v>
      </c>
      <c r="I22" s="2" t="inlineStr">
        <is>
          <t>2025-04-05</t>
        </is>
      </c>
      <c r="J22" s="2" t="inlineStr">
        <is>
          <t>2025-04-03</t>
        </is>
      </c>
      <c r="K22" s="2" t="inlineStr">
        <is>
          <t>Won</t>
        </is>
      </c>
      <c r="L22" s="2" t="n">
        <v>250000</v>
      </c>
      <c r="M22" s="2" t="inlineStr">
        <is>
          <t>Executive Referral</t>
        </is>
      </c>
      <c r="N22" s="2" t="inlineStr">
        <is>
          <t>Finance</t>
        </is>
      </c>
      <c r="O22" s="2" t="n">
        <v>4</v>
      </c>
      <c r="P22" s="2" t="n">
        <v>11</v>
      </c>
      <c r="Q22" s="2" t="inlineStr">
        <is>
          <t>2025-03-28</t>
        </is>
      </c>
      <c r="R22" s="2" t="inlineStr">
        <is>
          <t>Multi-product bundle</t>
        </is>
      </c>
    </row>
    <row r="23" ht="20" customHeight="1">
      <c r="A23" s="3" t="inlineStr">
        <is>
          <t>OPP-022</t>
        </is>
      </c>
      <c r="B23" s="3" t="inlineStr">
        <is>
          <t>VortexCloud</t>
        </is>
      </c>
      <c r="C23" s="3" t="inlineStr">
        <is>
          <t>Emily Zhou</t>
        </is>
      </c>
      <c r="D23" s="3" t="inlineStr">
        <is>
          <t>APAC</t>
        </is>
      </c>
      <c r="E23" s="3" t="inlineStr">
        <is>
          <t>Enterprise Suite</t>
        </is>
      </c>
      <c r="F23" s="3" t="inlineStr">
        <is>
          <t>Negotiation</t>
        </is>
      </c>
      <c r="G23" s="3" t="n">
        <v>340000</v>
      </c>
      <c r="H23" s="3" t="n">
        <v>80</v>
      </c>
      <c r="I23" s="3" t="inlineStr">
        <is>
          <t>2025-08-15</t>
        </is>
      </c>
      <c r="J23" s="3" t="inlineStr"/>
      <c r="K23" s="3" t="inlineStr">
        <is>
          <t>In Progress</t>
        </is>
      </c>
      <c r="L23" s="3" t="n">
        <v>320000</v>
      </c>
      <c r="M23" s="3" t="inlineStr">
        <is>
          <t>Inbound Referral</t>
        </is>
      </c>
      <c r="N23" s="3" t="inlineStr">
        <is>
          <t>Technology</t>
        </is>
      </c>
      <c r="O23" s="3" t="n">
        <v>5</v>
      </c>
      <c r="P23" s="3" t="n">
        <v>17</v>
      </c>
      <c r="Q23" s="3" t="inlineStr">
        <is>
          <t>2025-06-01</t>
        </is>
      </c>
      <c r="R23" s="3" t="inlineStr">
        <is>
          <t>Legal contract review</t>
        </is>
      </c>
    </row>
    <row r="24" ht="20" customHeight="1">
      <c r="A24" s="2" t="inlineStr">
        <is>
          <t>OPP-023</t>
        </is>
      </c>
      <c r="B24" s="2" t="inlineStr">
        <is>
          <t>WaveTech Telecom</t>
        </is>
      </c>
      <c r="C24" s="2" t="inlineStr">
        <is>
          <t>James Carter</t>
        </is>
      </c>
      <c r="D24" s="2" t="inlineStr">
        <is>
          <t>EMEA</t>
        </is>
      </c>
      <c r="E24" s="2" t="inlineStr">
        <is>
          <t>Compliance Module</t>
        </is>
      </c>
      <c r="F24" s="2" t="inlineStr">
        <is>
          <t>Closed Won</t>
        </is>
      </c>
      <c r="G24" s="2" t="n">
        <v>295000</v>
      </c>
      <c r="H24" s="2" t="n">
        <v>100</v>
      </c>
      <c r="I24" s="2" t="inlineStr">
        <is>
          <t>2025-06-01</t>
        </is>
      </c>
      <c r="J24" s="2" t="inlineStr">
        <is>
          <t>2025-05-30</t>
        </is>
      </c>
      <c r="K24" s="2" t="inlineStr">
        <is>
          <t>Won</t>
        </is>
      </c>
      <c r="L24" s="2" t="n">
        <v>280000</v>
      </c>
      <c r="M24" s="2" t="inlineStr">
        <is>
          <t>Partner Referral</t>
        </is>
      </c>
      <c r="N24" s="2" t="inlineStr">
        <is>
          <t>Telecommunications</t>
        </is>
      </c>
      <c r="O24" s="2" t="n">
        <v>3</v>
      </c>
      <c r="P24" s="2" t="n">
        <v>8</v>
      </c>
      <c r="Q24" s="2" t="inlineStr">
        <is>
          <t>2025-05-25</t>
        </is>
      </c>
      <c r="R24" s="2" t="inlineStr">
        <is>
          <t>Renewals upsell potential</t>
        </is>
      </c>
    </row>
    <row r="25" ht="20" customHeight="1">
      <c r="A25" s="3" t="inlineStr">
        <is>
          <t>OPP-024</t>
        </is>
      </c>
      <c r="B25" s="3" t="inlineStr">
        <is>
          <t>XcelData</t>
        </is>
      </c>
      <c r="C25" s="3" t="inlineStr">
        <is>
          <t>Tom Park</t>
        </is>
      </c>
      <c r="D25" s="3" t="inlineStr">
        <is>
          <t>North America</t>
        </is>
      </c>
      <c r="E25" s="3" t="inlineStr">
        <is>
          <t>Analytics Pro</t>
        </is>
      </c>
      <c r="F25" s="3" t="inlineStr">
        <is>
          <t>Proposal Sent</t>
        </is>
      </c>
      <c r="G25" s="3" t="n">
        <v>175000</v>
      </c>
      <c r="H25" s="3" t="n">
        <v>55</v>
      </c>
      <c r="I25" s="3" t="inlineStr">
        <is>
          <t>2025-07-20</t>
        </is>
      </c>
      <c r="J25" s="3" t="inlineStr"/>
      <c r="K25" s="3" t="inlineStr">
        <is>
          <t>In Progress</t>
        </is>
      </c>
      <c r="L25" s="3" t="n">
        <v>180000</v>
      </c>
      <c r="M25" s="3" t="inlineStr">
        <is>
          <t>LinkedIn Ad</t>
        </is>
      </c>
      <c r="N25" s="3" t="inlineStr">
        <is>
          <t>Technology</t>
        </is>
      </c>
      <c r="O25" s="3" t="n">
        <v>3</v>
      </c>
      <c r="P25" s="3" t="n">
        <v>10</v>
      </c>
      <c r="Q25" s="3" t="inlineStr">
        <is>
          <t>2025-06-05</t>
        </is>
      </c>
      <c r="R25" s="3" t="inlineStr">
        <is>
          <t>Demo feedback positive</t>
        </is>
      </c>
    </row>
    <row r="26" ht="20" customHeight="1">
      <c r="A26" s="2" t="inlineStr">
        <is>
          <t>OPP-025</t>
        </is>
      </c>
      <c r="B26" s="2" t="inlineStr">
        <is>
          <t>YieldFarm Agri</t>
        </is>
      </c>
      <c r="C26" s="2" t="inlineStr">
        <is>
          <t>Linda Zhao</t>
        </is>
      </c>
      <c r="D26" s="2" t="inlineStr">
        <is>
          <t>APAC</t>
        </is>
      </c>
      <c r="E26" s="2" t="inlineStr">
        <is>
          <t>Starter Pack</t>
        </is>
      </c>
      <c r="F26" s="2" t="inlineStr">
        <is>
          <t>Discovery</t>
        </is>
      </c>
      <c r="G26" s="2" t="n">
        <v>65000</v>
      </c>
      <c r="H26" s="2" t="n">
        <v>30</v>
      </c>
      <c r="I26" s="2" t="inlineStr">
        <is>
          <t>2025-09-15</t>
        </is>
      </c>
      <c r="J26" s="2" t="inlineStr"/>
      <c r="K26" s="2" t="inlineStr">
        <is>
          <t>In Progress</t>
        </is>
      </c>
      <c r="L26" s="2" t="n">
        <v>70000</v>
      </c>
      <c r="M26" s="2" t="inlineStr">
        <is>
          <t>Trade Show</t>
        </is>
      </c>
      <c r="N26" s="2" t="inlineStr">
        <is>
          <t>Agriculture</t>
        </is>
      </c>
      <c r="O26" s="2" t="n">
        <v>2</v>
      </c>
      <c r="P26" s="2" t="n">
        <v>6</v>
      </c>
      <c r="Q26" s="2" t="inlineStr">
        <is>
          <t>2025-06-10</t>
        </is>
      </c>
      <c r="R26" s="2" t="inlineStr">
        <is>
          <t>Exploring IoT integration</t>
        </is>
      </c>
    </row>
    <row r="27" ht="20" customHeight="1">
      <c r="A27" s="3" t="inlineStr">
        <is>
          <t>OPP-026</t>
        </is>
      </c>
      <c r="B27" s="3" t="inlineStr">
        <is>
          <t>ZenithInsure</t>
        </is>
      </c>
      <c r="C27" s="3" t="inlineStr">
        <is>
          <t>Sarah Lin</t>
        </is>
      </c>
      <c r="D27" s="3" t="inlineStr">
        <is>
          <t>North America</t>
        </is>
      </c>
      <c r="E27" s="3" t="inlineStr">
        <is>
          <t>Compliance Module</t>
        </is>
      </c>
      <c r="F27" s="3" t="inlineStr">
        <is>
          <t>Closed Won</t>
        </is>
      </c>
      <c r="G27" s="3" t="n">
        <v>310000</v>
      </c>
      <c r="H27" s="3" t="n">
        <v>100</v>
      </c>
      <c r="I27" s="3" t="inlineStr">
        <is>
          <t>2025-03-28</t>
        </is>
      </c>
      <c r="J27" s="3" t="inlineStr">
        <is>
          <t>2025-03-25</t>
        </is>
      </c>
      <c r="K27" s="3" t="inlineStr">
        <is>
          <t>Won</t>
        </is>
      </c>
      <c r="L27" s="3" t="n">
        <v>290000</v>
      </c>
      <c r="M27" s="3" t="inlineStr">
        <is>
          <t>Inbound Referral</t>
        </is>
      </c>
      <c r="N27" s="3" t="inlineStr">
        <is>
          <t>Insurance</t>
        </is>
      </c>
      <c r="O27" s="3" t="n">
        <v>4</v>
      </c>
      <c r="P27" s="3" t="n">
        <v>9</v>
      </c>
      <c r="Q27" s="3" t="inlineStr">
        <is>
          <t>2025-03-20</t>
        </is>
      </c>
      <c r="R27" s="3" t="inlineStr">
        <is>
          <t>Compliance-driven urgency</t>
        </is>
      </c>
    </row>
    <row r="28" ht="20" customHeight="1">
      <c r="A28" s="2" t="inlineStr">
        <is>
          <t>OPP-027</t>
        </is>
      </c>
      <c r="B28" s="2" t="inlineStr">
        <is>
          <t>Alpha Genomics</t>
        </is>
      </c>
      <c r="C28" s="2" t="inlineStr">
        <is>
          <t>Emily Zhou</t>
        </is>
      </c>
      <c r="D28" s="2" t="inlineStr">
        <is>
          <t>APAC</t>
        </is>
      </c>
      <c r="E28" s="2" t="inlineStr">
        <is>
          <t>Analytics Pro</t>
        </is>
      </c>
      <c r="F28" s="2" t="inlineStr">
        <is>
          <t>Closed Lost</t>
        </is>
      </c>
      <c r="G28" s="2" t="n">
        <v>220000</v>
      </c>
      <c r="H28" s="2" t="n">
        <v>0</v>
      </c>
      <c r="I28" s="2" t="inlineStr">
        <is>
          <t>2025-02-20</t>
        </is>
      </c>
      <c r="J28" s="2" t="inlineStr">
        <is>
          <t>2025-02-18</t>
        </is>
      </c>
      <c r="K28" s="2" t="inlineStr">
        <is>
          <t>Lost</t>
        </is>
      </c>
      <c r="L28" s="2" t="n">
        <v>230000</v>
      </c>
      <c r="M28" s="2" t="inlineStr">
        <is>
          <t>Partner Referral</t>
        </is>
      </c>
      <c r="N28" s="2" t="inlineStr">
        <is>
          <t>Biotech</t>
        </is>
      </c>
      <c r="O28" s="2" t="n">
        <v>3</v>
      </c>
      <c r="P28" s="2" t="n">
        <v>28</v>
      </c>
      <c r="Q28" s="2" t="inlineStr">
        <is>
          <t>2025-02-10</t>
        </is>
      </c>
      <c r="R28" s="2" t="inlineStr">
        <is>
          <t>Budget cut mid-cycle</t>
        </is>
      </c>
    </row>
    <row r="29" ht="20" customHeight="1">
      <c r="A29" s="3" t="inlineStr">
        <is>
          <t>OPP-028</t>
        </is>
      </c>
      <c r="B29" s="3" t="inlineStr">
        <is>
          <t>BlueStar Retail</t>
        </is>
      </c>
      <c r="C29" s="3" t="inlineStr">
        <is>
          <t>James Carter</t>
        </is>
      </c>
      <c r="D29" s="3" t="inlineStr">
        <is>
          <t>EMEA</t>
        </is>
      </c>
      <c r="E29" s="3" t="inlineStr">
        <is>
          <t>Starter Pack</t>
        </is>
      </c>
      <c r="F29" s="3" t="inlineStr">
        <is>
          <t>Negotiation</t>
        </is>
      </c>
      <c r="G29" s="3" t="n">
        <v>80000</v>
      </c>
      <c r="H29" s="3" t="n">
        <v>70</v>
      </c>
      <c r="I29" s="3" t="inlineStr">
        <is>
          <t>2025-07-05</t>
        </is>
      </c>
      <c r="J29" s="3" t="inlineStr"/>
      <c r="K29" s="3" t="inlineStr">
        <is>
          <t>In Progress</t>
        </is>
      </c>
      <c r="L29" s="3" t="n">
        <v>90000</v>
      </c>
      <c r="M29" s="3" t="inlineStr">
        <is>
          <t>Inbound Web</t>
        </is>
      </c>
      <c r="N29" s="3" t="inlineStr">
        <is>
          <t>Retail</t>
        </is>
      </c>
      <c r="O29" s="3" t="n">
        <v>2</v>
      </c>
      <c r="P29" s="3" t="n">
        <v>13</v>
      </c>
      <c r="Q29" s="3" t="inlineStr">
        <is>
          <t>2025-06-08</t>
        </is>
      </c>
      <c r="R29" s="3" t="inlineStr">
        <is>
          <t>Discount negotiation</t>
        </is>
      </c>
    </row>
    <row r="30" ht="20" customHeight="1">
      <c r="A30" s="2" t="inlineStr">
        <is>
          <t>OPP-029</t>
        </is>
      </c>
      <c r="B30" s="2" t="inlineStr">
        <is>
          <t>Cascade Power</t>
        </is>
      </c>
      <c r="C30" s="2" t="inlineStr">
        <is>
          <t>Tom Park</t>
        </is>
      </c>
      <c r="D30" s="2" t="inlineStr">
        <is>
          <t>North America</t>
        </is>
      </c>
      <c r="E30" s="2" t="inlineStr">
        <is>
          <t>Enterprise Suite</t>
        </is>
      </c>
      <c r="F30" s="2" t="inlineStr">
        <is>
          <t>Proposal Sent</t>
        </is>
      </c>
      <c r="G30" s="2" t="n">
        <v>430000</v>
      </c>
      <c r="H30" s="2" t="n">
        <v>50</v>
      </c>
      <c r="I30" s="2" t="inlineStr">
        <is>
          <t>2025-08-31</t>
        </is>
      </c>
      <c r="J30" s="2" t="inlineStr"/>
      <c r="K30" s="2" t="inlineStr">
        <is>
          <t>In Progress</t>
        </is>
      </c>
      <c r="L30" s="2" t="n">
        <v>400000</v>
      </c>
      <c r="M30" s="2" t="inlineStr">
        <is>
          <t>Cold Outreach</t>
        </is>
      </c>
      <c r="N30" s="2" t="inlineStr">
        <is>
          <t>Energy</t>
        </is>
      </c>
      <c r="O30" s="2" t="n">
        <v>5</v>
      </c>
      <c r="P30" s="2" t="n">
        <v>8</v>
      </c>
      <c r="Q30" s="2" t="inlineStr">
        <is>
          <t>2025-06-12</t>
        </is>
      </c>
      <c r="R30" s="2" t="inlineStr">
        <is>
          <t>First utility sector deal</t>
        </is>
      </c>
    </row>
    <row r="31" ht="20" customHeight="1">
      <c r="A31" s="3" t="inlineStr">
        <is>
          <t>OPP-030</t>
        </is>
      </c>
      <c r="B31" s="3" t="inlineStr">
        <is>
          <t>DreamSpace Arch</t>
        </is>
      </c>
      <c r="C31" s="3" t="inlineStr">
        <is>
          <t>Linda Zhao</t>
        </is>
      </c>
      <c r="D31" s="3" t="inlineStr">
        <is>
          <t>APAC</t>
        </is>
      </c>
      <c r="E31" s="3" t="inlineStr">
        <is>
          <t>Starter Pack</t>
        </is>
      </c>
      <c r="F31" s="3" t="inlineStr">
        <is>
          <t>Closed Won</t>
        </is>
      </c>
      <c r="G31" s="3" t="n">
        <v>70000</v>
      </c>
      <c r="H31" s="3" t="n">
        <v>100</v>
      </c>
      <c r="I31" s="3" t="inlineStr">
        <is>
          <t>2025-05-05</t>
        </is>
      </c>
      <c r="J31" s="3" t="inlineStr">
        <is>
          <t>2025-05-03</t>
        </is>
      </c>
      <c r="K31" s="3" t="inlineStr">
        <is>
          <t>Won</t>
        </is>
      </c>
      <c r="L31" s="3" t="n">
        <v>60000</v>
      </c>
      <c r="M31" s="3" t="inlineStr">
        <is>
          <t>Inbound Web</t>
        </is>
      </c>
      <c r="N31" s="3" t="inlineStr">
        <is>
          <t>Architecture</t>
        </is>
      </c>
      <c r="O31" s="3" t="n">
        <v>1</v>
      </c>
      <c r="P31" s="3" t="n">
        <v>7</v>
      </c>
      <c r="Q31" s="3" t="inlineStr">
        <is>
          <t>2025-04-28</t>
        </is>
      </c>
      <c r="R31" s="3" t="inlineStr">
        <is>
          <t>Quick close, design firm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Opportunities</t>
        </is>
      </c>
      <c r="B2" s="2">
        <f>COUNTA('Sales Pipeline'!A2:A32)</f>
        <v/>
      </c>
    </row>
    <row r="3">
      <c r="A3" s="3" t="inlineStr">
        <is>
          <t>Total Closed Won</t>
        </is>
      </c>
      <c r="B3" s="3">
        <f>COUNTIF('Sales Pipeline'!K2:K32,"Won")</f>
        <v/>
      </c>
    </row>
    <row r="4">
      <c r="A4" s="2" t="inlineStr">
        <is>
          <t>Total Closed Lost</t>
        </is>
      </c>
      <c r="B4" s="2">
        <f>COUNTIF('Sales Pipeline'!K2:K32,"Lost")</f>
        <v/>
      </c>
    </row>
    <row r="5">
      <c r="A5" s="3" t="inlineStr">
        <is>
          <t>Win Rate (%)</t>
        </is>
      </c>
      <c r="B5" s="3">
        <f>IFERROR(B3/(B3+B4)*100,0)</f>
        <v/>
      </c>
    </row>
    <row r="6">
      <c r="A6" s="2" t="inlineStr">
        <is>
          <t>Total Won Value (USD)</t>
        </is>
      </c>
      <c r="B6" s="2">
        <f>SUMIF('Sales Pipeline'!K2:K32,"Won",'Sales Pipeline'!G2:G32)</f>
        <v/>
      </c>
    </row>
    <row r="7">
      <c r="A7" s="3" t="inlineStr">
        <is>
          <t>Total Pipeline Value (USD)</t>
        </is>
      </c>
      <c r="B7" s="3">
        <f>SUMIF('Sales Pipeline'!F2:F32,"In Progress",'Sales Pipeline'!G2:G32)</f>
        <v/>
      </c>
    </row>
    <row r="8">
      <c r="A8" s="2" t="inlineStr">
        <is>
          <t>Total Quota (USD)</t>
        </is>
      </c>
      <c r="B8" s="2">
        <f>SUM('Sales Pipeline'!L2:L32)</f>
        <v/>
      </c>
    </row>
    <row r="9">
      <c r="A9" s="3" t="inlineStr">
        <is>
          <t>Quota Attainment (%)</t>
        </is>
      </c>
      <c r="B9" s="3">
        <f>IFERROR(B6/B8*100,0)</f>
        <v/>
      </c>
    </row>
    <row r="10">
      <c r="A10" s="2" t="inlineStr">
        <is>
          <t>Avg Deal Value - Won (USD)</t>
        </is>
      </c>
      <c r="B10" s="2">
        <f>IFERROR(B6/B3,0)</f>
        <v/>
      </c>
    </row>
    <row r="11">
      <c r="A11" s="3" t="inlineStr">
        <is>
          <t>Avg Days in Stage</t>
        </is>
      </c>
      <c r="B11" s="3">
        <f>AVERAGE('Sales Pipeline'!P2:P32)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2026-05-11T07:29:06Z</dcterms:created>
  <dcterms:modified xmlns:dcterms="http://purl.org/dc/terms/" xmlns:xsi="http://www.w3.org/2001/XMLSchema-instance" xsi:type="dcterms:W3CDTF">2026-05-11T07:29:06Z</dcterms:modified>
</cp:coreProperties>
</file>