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线" sheetId="1" state="visible" r:id="rId1"/>
    <sheet xmlns:r="http://schemas.openxmlformats.org/officeDocument/2006/relationships" name="汇总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16" customWidth="1" min="5" max="5"/>
    <col width="14" customWidth="1" min="6" max="6"/>
    <col width="18" customWidth="1" min="7" max="7"/>
    <col width="16" customWidth="1" min="8" max="8"/>
    <col width="18" customWidth="1" min="9" max="9"/>
    <col width="18" customWidth="1" min="10" max="10"/>
    <col width="10" customWidth="1" min="11" max="11"/>
    <col width="16" customWidth="1" min="12" max="12"/>
    <col width="14" customWidth="1" min="13" max="13"/>
    <col width="12" customWidth="1" min="14" max="14"/>
    <col width="12" customWidth="1" min="15" max="15"/>
    <col width="14" customWidth="1" min="16" max="16"/>
    <col width="18" customWidth="1" min="17" max="17"/>
    <col width="28" customWidth="1" min="18" max="18"/>
  </cols>
  <sheetData>
    <row r="1" ht="32" customHeight="1">
      <c r="A1" s="1" t="inlineStr">
        <is>
          <t>商机编号</t>
        </is>
      </c>
      <c r="B1" s="1" t="inlineStr">
        <is>
          <t>客户名称</t>
        </is>
      </c>
      <c r="C1" s="1" t="inlineStr">
        <is>
          <t>销售代表</t>
        </is>
      </c>
      <c r="D1" s="1" t="inlineStr">
        <is>
          <t>大区</t>
        </is>
      </c>
      <c r="E1" s="1" t="inlineStr">
        <is>
          <t>产品线</t>
        </is>
      </c>
      <c r="F1" s="1" t="inlineStr">
        <is>
          <t>商机阶段</t>
        </is>
      </c>
      <c r="G1" s="1" t="inlineStr">
        <is>
          <t>商机金额（元）</t>
        </is>
      </c>
      <c r="H1" s="1" t="inlineStr">
        <is>
          <t>赢单概率（%）</t>
        </is>
      </c>
      <c r="I1" s="1" t="inlineStr">
        <is>
          <t>预计关闭日期</t>
        </is>
      </c>
      <c r="J1" s="1" t="inlineStr">
        <is>
          <t>实际关闭日期</t>
        </is>
      </c>
      <c r="K1" s="1" t="inlineStr">
        <is>
          <t>结果</t>
        </is>
      </c>
      <c r="L1" s="1" t="inlineStr">
        <is>
          <t>销售配额（元）</t>
        </is>
      </c>
      <c r="M1" s="1" t="inlineStr">
        <is>
          <t>线索来源</t>
        </is>
      </c>
      <c r="N1" s="1" t="inlineStr">
        <is>
          <t>行业</t>
        </is>
      </c>
      <c r="O1" s="1" t="inlineStr">
        <is>
          <t>联系人数</t>
        </is>
      </c>
      <c r="P1" s="1" t="inlineStr">
        <is>
          <t>在当前阶段天数</t>
        </is>
      </c>
      <c r="Q1" s="1" t="inlineStr">
        <is>
          <t>最近活动日期</t>
        </is>
      </c>
      <c r="R1" s="1" t="inlineStr">
        <is>
          <t>备注</t>
        </is>
      </c>
    </row>
    <row r="2" ht="20" customHeight="1">
      <c r="A2" s="2" t="inlineStr">
        <is>
          <t>OPP-001</t>
        </is>
      </c>
      <c r="B2" s="2" t="inlineStr">
        <is>
          <t>顶点科技</t>
        </is>
      </c>
      <c r="C2" s="2" t="inlineStr">
        <is>
          <t>林晓雪</t>
        </is>
      </c>
      <c r="D2" s="2" t="inlineStr">
        <is>
          <t>华北</t>
        </is>
      </c>
      <c r="E2" s="2" t="inlineStr">
        <is>
          <t>企业版套件</t>
        </is>
      </c>
      <c r="F2" s="2" t="inlineStr">
        <is>
          <t>已赢单</t>
        </is>
      </c>
      <c r="G2" s="2" t="n">
        <v>2280000</v>
      </c>
      <c r="H2" s="2" t="n">
        <v>100</v>
      </c>
      <c r="I2" s="2" t="inlineStr">
        <is>
          <t>2025-03-15</t>
        </is>
      </c>
      <c r="J2" s="2" t="inlineStr">
        <is>
          <t>2025-03-12</t>
        </is>
      </c>
      <c r="K2" s="2" t="inlineStr">
        <is>
          <t>赢单</t>
        </is>
      </c>
      <c r="L2" s="2" t="n">
        <v>2100000</v>
      </c>
      <c r="M2" s="2" t="inlineStr">
        <is>
          <t>内部转介绍</t>
        </is>
      </c>
      <c r="N2" s="2" t="inlineStr">
        <is>
          <t>科技</t>
        </is>
      </c>
      <c r="O2" s="2" t="n">
        <v>4</v>
      </c>
      <c r="P2" s="2" t="n">
        <v>8</v>
      </c>
      <c r="Q2" s="2" t="inlineStr">
        <is>
          <t>2025-03-10</t>
        </is>
      </c>
      <c r="R2" s="2" t="inlineStr">
        <is>
          <t>Q3有增购机会</t>
        </is>
      </c>
    </row>
    <row r="3" ht="20" customHeight="1">
      <c r="A3" s="3" t="inlineStr">
        <is>
          <t>OPP-002</t>
        </is>
      </c>
      <c r="B3" s="3" t="inlineStr">
        <is>
          <t>光明未来银行</t>
        </is>
      </c>
      <c r="C3" s="3" t="inlineStr">
        <is>
          <t>陈伟明</t>
        </is>
      </c>
      <c r="D3" s="3" t="inlineStr">
        <is>
          <t>华东</t>
        </is>
      </c>
      <c r="E3" s="3" t="inlineStr">
        <is>
          <t>数据分析专业版</t>
        </is>
      </c>
      <c r="F3" s="3" t="inlineStr">
        <is>
          <t>已输单</t>
        </is>
      </c>
      <c r="G3" s="3" t="n">
        <v>1290000</v>
      </c>
      <c r="H3" s="3" t="n">
        <v>0</v>
      </c>
      <c r="I3" s="3" t="inlineStr">
        <is>
          <t>2025-02-28</t>
        </is>
      </c>
      <c r="J3" s="3" t="inlineStr">
        <is>
          <t>2025-02-25</t>
        </is>
      </c>
      <c r="K3" s="3" t="inlineStr">
        <is>
          <t>输单</t>
        </is>
      </c>
      <c r="L3" s="3" t="n">
        <v>1800000</v>
      </c>
      <c r="M3" s="3" t="inlineStr">
        <is>
          <t>冷外呼</t>
        </is>
      </c>
      <c r="N3" s="3" t="inlineStr">
        <is>
          <t>金融</t>
        </is>
      </c>
      <c r="O3" s="3" t="n">
        <v>2</v>
      </c>
      <c r="P3" s="3" t="n">
        <v>22</v>
      </c>
      <c r="Q3" s="3" t="inlineStr">
        <is>
          <t>2025-02-20</t>
        </is>
      </c>
      <c r="R3" s="3" t="inlineStr">
        <is>
          <t>价格竞争失利</t>
        </is>
      </c>
    </row>
    <row r="4" ht="20" customHeight="1">
      <c r="A4" s="2" t="inlineStr">
        <is>
          <t>OPP-003</t>
        </is>
      </c>
      <c r="B4" s="2" t="inlineStr">
        <is>
          <t>云端九号</t>
        </is>
      </c>
      <c r="C4" s="2" t="inlineStr">
        <is>
          <t>周蕊</t>
        </is>
      </c>
      <c r="D4" s="2" t="inlineStr">
        <is>
          <t>华南</t>
        </is>
      </c>
      <c r="E4" s="2" t="inlineStr">
        <is>
          <t>企业版套件</t>
        </is>
      </c>
      <c r="F4" s="2" t="inlineStr">
        <is>
          <t>已赢单</t>
        </is>
      </c>
      <c r="G4" s="2" t="n">
        <v>3220000</v>
      </c>
      <c r="H4" s="2" t="n">
        <v>100</v>
      </c>
      <c r="I4" s="2" t="inlineStr">
        <is>
          <t>2025-04-10</t>
        </is>
      </c>
      <c r="J4" s="2" t="inlineStr">
        <is>
          <t>2025-04-08</t>
        </is>
      </c>
      <c r="K4" s="2" t="inlineStr">
        <is>
          <t>赢单</t>
        </is>
      </c>
      <c r="L4" s="2" t="n">
        <v>2800000</v>
      </c>
      <c r="M4" s="2" t="inlineStr">
        <is>
          <t>合作伙伴转介</t>
        </is>
      </c>
      <c r="N4" s="2" t="inlineStr">
        <is>
          <t>科技</t>
        </is>
      </c>
      <c r="O4" s="2" t="n">
        <v>6</v>
      </c>
      <c r="P4" s="2" t="n">
        <v>14</v>
      </c>
      <c r="Q4" s="2" t="inlineStr">
        <is>
          <t>2025-04-05</t>
        </is>
      </c>
      <c r="R4" s="2" t="inlineStr">
        <is>
          <t>签署多年合同</t>
        </is>
      </c>
    </row>
    <row r="5" ht="20" customHeight="1">
      <c r="A5" s="3" t="inlineStr">
        <is>
          <t>OPP-004</t>
        </is>
      </c>
      <c r="B5" s="3" t="inlineStr">
        <is>
          <t>达美物流</t>
        </is>
      </c>
      <c r="C5" s="3" t="inlineStr">
        <is>
          <t>朴俊浩</t>
        </is>
      </c>
      <c r="D5" s="3" t="inlineStr">
        <is>
          <t>华北</t>
        </is>
      </c>
      <c r="E5" s="3" t="inlineStr">
        <is>
          <t>入门版套件</t>
        </is>
      </c>
      <c r="F5" s="3" t="inlineStr">
        <is>
          <t>谈判中</t>
        </is>
      </c>
      <c r="G5" s="3" t="n">
        <v>680000</v>
      </c>
      <c r="H5" s="3" t="n">
        <v>70</v>
      </c>
      <c r="I5" s="3" t="inlineStr">
        <is>
          <t>2025-05-30</t>
        </is>
      </c>
      <c r="J5" s="3" t="inlineStr"/>
      <c r="K5" s="3" t="inlineStr">
        <is>
          <t>进行中</t>
        </is>
      </c>
      <c r="L5" s="3" t="n">
        <v>860000</v>
      </c>
      <c r="M5" s="3" t="inlineStr">
        <is>
          <t>行业展会</t>
        </is>
      </c>
      <c r="N5" s="3" t="inlineStr">
        <is>
          <t>物流</t>
        </is>
      </c>
      <c r="O5" s="3" t="n">
        <v>3</v>
      </c>
      <c r="P5" s="3" t="n">
        <v>18</v>
      </c>
      <c r="Q5" s="3" t="inlineStr">
        <is>
          <t>2025-05-10</t>
        </is>
      </c>
      <c r="R5" s="3" t="inlineStr">
        <is>
          <t>客户申请折扣</t>
        </is>
      </c>
    </row>
    <row r="6" ht="20" customHeight="1">
      <c r="A6" s="2" t="inlineStr">
        <is>
          <t>OPP-005</t>
        </is>
      </c>
      <c r="B6" s="2" t="inlineStr">
        <is>
          <t>回声制药</t>
        </is>
      </c>
      <c r="C6" s="2" t="inlineStr">
        <is>
          <t>赵琳</t>
        </is>
      </c>
      <c r="D6" s="2" t="inlineStr">
        <is>
          <t>华北</t>
        </is>
      </c>
      <c r="E6" s="2" t="inlineStr">
        <is>
          <t>数据分析专业版</t>
        </is>
      </c>
      <c r="F6" s="2" t="inlineStr">
        <is>
          <t>方案已发送</t>
        </is>
      </c>
      <c r="G6" s="2" t="n">
        <v>1510000</v>
      </c>
      <c r="H6" s="2" t="n">
        <v>55</v>
      </c>
      <c r="I6" s="2" t="inlineStr">
        <is>
          <t>2025-06-15</t>
        </is>
      </c>
      <c r="J6" s="2" t="inlineStr"/>
      <c r="K6" s="2" t="inlineStr">
        <is>
          <t>进行中</t>
        </is>
      </c>
      <c r="L6" s="2" t="n">
        <v>1400000</v>
      </c>
      <c r="M6" s="2" t="inlineStr">
        <is>
          <t>网站入站</t>
        </is>
      </c>
      <c r="N6" s="2" t="inlineStr">
        <is>
          <t>医疗健康</t>
        </is>
      </c>
      <c r="O6" s="2" t="n">
        <v>5</v>
      </c>
      <c r="P6" s="2" t="n">
        <v>11</v>
      </c>
      <c r="Q6" s="2" t="inlineStr">
        <is>
          <t>2025-05-20</t>
        </is>
      </c>
      <c r="R6" s="2" t="inlineStr">
        <is>
          <t>等待采购批准</t>
        </is>
      </c>
    </row>
    <row r="7" ht="20" customHeight="1">
      <c r="A7" s="3" t="inlineStr">
        <is>
          <t>OPP-006</t>
        </is>
      </c>
      <c r="B7" s="3" t="inlineStr">
        <is>
          <t>堡垒银行</t>
        </is>
      </c>
      <c r="C7" s="3" t="inlineStr">
        <is>
          <t>陈伟明</t>
        </is>
      </c>
      <c r="D7" s="3" t="inlineStr">
        <is>
          <t>华东</t>
        </is>
      </c>
      <c r="E7" s="3" t="inlineStr">
        <is>
          <t>合规模块</t>
        </is>
      </c>
      <c r="F7" s="3" t="inlineStr">
        <is>
          <t>已赢单</t>
        </is>
      </c>
      <c r="G7" s="3" t="n">
        <v>1975000</v>
      </c>
      <c r="H7" s="3" t="n">
        <v>100</v>
      </c>
      <c r="I7" s="3" t="inlineStr">
        <is>
          <t>2025-03-20</t>
        </is>
      </c>
      <c r="J7" s="3" t="inlineStr">
        <is>
          <t>2025-03-18</t>
        </is>
      </c>
      <c r="K7" s="3" t="inlineStr">
        <is>
          <t>赢单</t>
        </is>
      </c>
      <c r="L7" s="3" t="n">
        <v>1800000</v>
      </c>
      <c r="M7" s="3" t="inlineStr">
        <is>
          <t>合作伙伴转介</t>
        </is>
      </c>
      <c r="N7" s="3" t="inlineStr">
        <is>
          <t>金融</t>
        </is>
      </c>
      <c r="O7" s="3" t="n">
        <v>3</v>
      </c>
      <c r="P7" s="3" t="n">
        <v>9</v>
      </c>
      <c r="Q7" s="3" t="inlineStr">
        <is>
          <t>2025-03-15</t>
        </is>
      </c>
      <c r="R7" s="3" t="inlineStr">
        <is>
          <t>加购安全附加模块</t>
        </is>
      </c>
    </row>
    <row r="8" ht="20" customHeight="1">
      <c r="A8" s="2" t="inlineStr">
        <is>
          <t>OPP-007</t>
        </is>
      </c>
      <c r="B8" s="2" t="inlineStr">
        <is>
          <t>绿途能源</t>
        </is>
      </c>
      <c r="C8" s="2" t="inlineStr">
        <is>
          <t>林晓雪</t>
        </is>
      </c>
      <c r="D8" s="2" t="inlineStr">
        <is>
          <t>华北</t>
        </is>
      </c>
      <c r="E8" s="2" t="inlineStr">
        <is>
          <t>入门版套件</t>
        </is>
      </c>
      <c r="F8" s="2" t="inlineStr">
        <is>
          <t>发现需求</t>
        </is>
      </c>
      <c r="G8" s="2" t="n">
        <v>430000</v>
      </c>
      <c r="H8" s="2" t="n">
        <v>30</v>
      </c>
      <c r="I8" s="2" t="inlineStr">
        <is>
          <t>2025-07-01</t>
        </is>
      </c>
      <c r="J8" s="2" t="inlineStr"/>
      <c r="K8" s="2" t="inlineStr">
        <is>
          <t>进行中</t>
        </is>
      </c>
      <c r="L8" s="2" t="n">
        <v>720000</v>
      </c>
      <c r="M8" s="2" t="inlineStr">
        <is>
          <t>领英广告</t>
        </is>
      </c>
      <c r="N8" s="2" t="inlineStr">
        <is>
          <t>能源</t>
        </is>
      </c>
      <c r="O8" s="2" t="n">
        <v>2</v>
      </c>
      <c r="P8" s="2" t="n">
        <v>5</v>
      </c>
      <c r="Q8" s="2" t="inlineStr">
        <is>
          <t>2025-05-25</t>
        </is>
      </c>
      <c r="R8" s="2" t="inlineStr">
        <is>
          <t>早期阶段，需要培育</t>
        </is>
      </c>
    </row>
    <row r="9" ht="20" customHeight="1">
      <c r="A9" s="3" t="inlineStr">
        <is>
          <t>OPP-008</t>
        </is>
      </c>
      <c r="B9" s="3" t="inlineStr">
        <is>
          <t>健康优先集团</t>
        </is>
      </c>
      <c r="C9" s="3" t="inlineStr">
        <is>
          <t>周蕊</t>
        </is>
      </c>
      <c r="D9" s="3" t="inlineStr">
        <is>
          <t>华南</t>
        </is>
      </c>
      <c r="E9" s="3" t="inlineStr">
        <is>
          <t>企业版套件</t>
        </is>
      </c>
      <c r="F9" s="3" t="inlineStr">
        <is>
          <t>已赢单</t>
        </is>
      </c>
      <c r="G9" s="3" t="n">
        <v>3660000</v>
      </c>
      <c r="H9" s="3" t="n">
        <v>100</v>
      </c>
      <c r="I9" s="3" t="inlineStr">
        <is>
          <t>2025-04-30</t>
        </is>
      </c>
      <c r="J9" s="3" t="inlineStr">
        <is>
          <t>2025-04-28</t>
        </is>
      </c>
      <c r="K9" s="3" t="inlineStr">
        <is>
          <t>赢单</t>
        </is>
      </c>
      <c r="L9" s="3" t="n">
        <v>3600000</v>
      </c>
      <c r="M9" s="3" t="inlineStr">
        <is>
          <t>高管转介绍</t>
        </is>
      </c>
      <c r="N9" s="3" t="inlineStr">
        <is>
          <t>医疗健康</t>
        </is>
      </c>
      <c r="O9" s="3" t="n">
        <v>7</v>
      </c>
      <c r="P9" s="3" t="n">
        <v>12</v>
      </c>
      <c r="Q9" s="3" t="inlineStr">
        <is>
          <t>2025-04-22</t>
        </is>
      </c>
      <c r="R9" s="3" t="inlineStr">
        <is>
          <t>华南Q1最大单</t>
        </is>
      </c>
    </row>
    <row r="10" ht="20" customHeight="1">
      <c r="A10" s="2" t="inlineStr">
        <is>
          <t>OPP-009</t>
        </is>
      </c>
      <c r="B10" s="2" t="inlineStr">
        <is>
          <t>铁工制造</t>
        </is>
      </c>
      <c r="C10" s="2" t="inlineStr">
        <is>
          <t>朴俊浩</t>
        </is>
      </c>
      <c r="D10" s="2" t="inlineStr">
        <is>
          <t>华北</t>
        </is>
      </c>
      <c r="E10" s="2" t="inlineStr">
        <is>
          <t>数据分析专业版</t>
        </is>
      </c>
      <c r="F10" s="2" t="inlineStr">
        <is>
          <t>已输单</t>
        </is>
      </c>
      <c r="G10" s="2" t="n">
        <v>1005000</v>
      </c>
      <c r="H10" s="2" t="n">
        <v>0</v>
      </c>
      <c r="I10" s="2" t="inlineStr">
        <is>
          <t>2025-01-31</t>
        </is>
      </c>
      <c r="J10" s="2" t="inlineStr">
        <is>
          <t>2025-01-29</t>
        </is>
      </c>
      <c r="K10" s="2" t="inlineStr">
        <is>
          <t>输单</t>
        </is>
      </c>
      <c r="L10" s="2" t="n">
        <v>1080000</v>
      </c>
      <c r="M10" s="2" t="inlineStr">
        <is>
          <t>冷外呼</t>
        </is>
      </c>
      <c r="N10" s="2" t="inlineStr">
        <is>
          <t>制造业</t>
        </is>
      </c>
      <c r="O10" s="2" t="n">
        <v>2</v>
      </c>
      <c r="P10" s="2" t="n">
        <v>30</v>
      </c>
      <c r="Q10" s="2" t="inlineStr">
        <is>
          <t>2025-01-25</t>
        </is>
      </c>
      <c r="R10" s="2" t="inlineStr">
        <is>
          <t>预算冻结</t>
        </is>
      </c>
    </row>
    <row r="11" ht="20" customHeight="1">
      <c r="A11" s="3" t="inlineStr">
        <is>
          <t>OPP-010</t>
        </is>
      </c>
      <c r="B11" s="3" t="inlineStr">
        <is>
          <t>蓝天传媒</t>
        </is>
      </c>
      <c r="C11" s="3" t="inlineStr">
        <is>
          <t>赵琳</t>
        </is>
      </c>
      <c r="D11" s="3" t="inlineStr">
        <is>
          <t>华北</t>
        </is>
      </c>
      <c r="E11" s="3" t="inlineStr">
        <is>
          <t>入门版套件</t>
        </is>
      </c>
      <c r="F11" s="3" t="inlineStr">
        <is>
          <t>谈判中</t>
        </is>
      </c>
      <c r="G11" s="3" t="n">
        <v>610000</v>
      </c>
      <c r="H11" s="3" t="n">
        <v>65</v>
      </c>
      <c r="I11" s="3" t="inlineStr">
        <is>
          <t>2025-06-30</t>
        </is>
      </c>
      <c r="J11" s="3" t="inlineStr"/>
      <c r="K11" s="3" t="inlineStr">
        <is>
          <t>进行中</t>
        </is>
      </c>
      <c r="L11" s="3" t="n">
        <v>720000</v>
      </c>
      <c r="M11" s="3" t="inlineStr">
        <is>
          <t>网站入站</t>
        </is>
      </c>
      <c r="N11" s="3" t="inlineStr">
        <is>
          <t>传媒</t>
        </is>
      </c>
      <c r="O11" s="3" t="n">
        <v>3</v>
      </c>
      <c r="P11" s="3" t="n">
        <v>15</v>
      </c>
      <c r="Q11" s="3" t="inlineStr">
        <is>
          <t>2025-05-28</t>
        </is>
      </c>
      <c r="R11" s="3" t="inlineStr">
        <is>
          <t>法务审核中</t>
        </is>
      </c>
    </row>
    <row r="12" ht="20" customHeight="1">
      <c r="A12" s="2" t="inlineStr">
        <is>
          <t>OPP-011</t>
        </is>
      </c>
      <c r="B12" s="2" t="inlineStr">
        <is>
          <t>翱翔零售</t>
        </is>
      </c>
      <c r="C12" s="2" t="inlineStr">
        <is>
          <t>林晓雪</t>
        </is>
      </c>
      <c r="D12" s="2" t="inlineStr">
        <is>
          <t>华北</t>
        </is>
      </c>
      <c r="E12" s="2" t="inlineStr">
        <is>
          <t>数据分析专业版</t>
        </is>
      </c>
      <c r="F12" s="2" t="inlineStr">
        <is>
          <t>方案已发送</t>
        </is>
      </c>
      <c r="G12" s="2" t="n">
        <v>1185000</v>
      </c>
      <c r="H12" s="2" t="n">
        <v>50</v>
      </c>
      <c r="I12" s="2" t="inlineStr">
        <is>
          <t>2025-07-15</t>
        </is>
      </c>
      <c r="J12" s="2" t="inlineStr"/>
      <c r="K12" s="2" t="inlineStr">
        <is>
          <t>进行中</t>
        </is>
      </c>
      <c r="L12" s="2" t="n">
        <v>1295000</v>
      </c>
      <c r="M12" s="2" t="inlineStr">
        <is>
          <t>行业展会</t>
        </is>
      </c>
      <c r="N12" s="2" t="inlineStr">
        <is>
          <t>零售</t>
        </is>
      </c>
      <c r="O12" s="2" t="n">
        <v>4</v>
      </c>
      <c r="P12" s="2" t="n">
        <v>9</v>
      </c>
      <c r="Q12" s="2" t="inlineStr">
        <is>
          <t>2025-06-01</t>
        </is>
      </c>
      <c r="R12" s="2" t="inlineStr">
        <is>
          <t>竞品比较评估</t>
        </is>
      </c>
    </row>
    <row r="13" ht="20" customHeight="1">
      <c r="A13" s="3" t="inlineStr">
        <is>
          <t>OPP-012</t>
        </is>
      </c>
      <c r="B13" s="3" t="inlineStr">
        <is>
          <t>流光健康AI</t>
        </is>
      </c>
      <c r="C13" s="3" t="inlineStr">
        <is>
          <t>周蕊</t>
        </is>
      </c>
      <c r="D13" s="3" t="inlineStr">
        <is>
          <t>华南</t>
        </is>
      </c>
      <c r="E13" s="3" t="inlineStr">
        <is>
          <t>企业版套件</t>
        </is>
      </c>
      <c r="F13" s="3" t="inlineStr">
        <is>
          <t>已赢单</t>
        </is>
      </c>
      <c r="G13" s="3" t="n">
        <v>2800000</v>
      </c>
      <c r="H13" s="3" t="n">
        <v>100</v>
      </c>
      <c r="I13" s="3" t="inlineStr">
        <is>
          <t>2025-05-10</t>
        </is>
      </c>
      <c r="J13" s="3" t="inlineStr">
        <is>
          <t>2025-05-08</t>
        </is>
      </c>
      <c r="K13" s="3" t="inlineStr">
        <is>
          <t>赢单</t>
        </is>
      </c>
      <c r="L13" s="3" t="n">
        <v>2520000</v>
      </c>
      <c r="M13" s="3" t="inlineStr">
        <is>
          <t>合作伙伴转介</t>
        </is>
      </c>
      <c r="N13" s="3" t="inlineStr">
        <is>
          <t>医疗健康</t>
        </is>
      </c>
      <c r="O13" s="3" t="n">
        <v>5</v>
      </c>
      <c r="P13" s="3" t="n">
        <v>11</v>
      </c>
      <c r="Q13" s="3" t="inlineStr">
        <is>
          <t>2025-05-03</t>
        </is>
      </c>
      <c r="R13" s="3" t="inlineStr">
        <is>
          <t>3年合同</t>
        </is>
      </c>
    </row>
    <row r="14" ht="20" customHeight="1">
      <c r="A14" s="2" t="inlineStr">
        <is>
          <t>OPP-013</t>
        </is>
      </c>
      <c r="B14" s="2" t="inlineStr">
        <is>
          <t>巨运交通</t>
        </is>
      </c>
      <c r="C14" s="2" t="inlineStr">
        <is>
          <t>陈伟明</t>
        </is>
      </c>
      <c r="D14" s="2" t="inlineStr">
        <is>
          <t>华东</t>
        </is>
      </c>
      <c r="E14" s="2" t="inlineStr">
        <is>
          <t>合规模块</t>
        </is>
      </c>
      <c r="F14" s="2" t="inlineStr">
        <is>
          <t>发现需求</t>
        </is>
      </c>
      <c r="G14" s="2" t="n">
        <v>860000</v>
      </c>
      <c r="H14" s="2" t="n">
        <v>25</v>
      </c>
      <c r="I14" s="2" t="inlineStr">
        <is>
          <t>2025-08-01</t>
        </is>
      </c>
      <c r="J14" s="2" t="inlineStr"/>
      <c r="K14" s="2" t="inlineStr">
        <is>
          <t>进行中</t>
        </is>
      </c>
      <c r="L14" s="2" t="n">
        <v>1080000</v>
      </c>
      <c r="M14" s="2" t="inlineStr">
        <is>
          <t>领英广告</t>
        </is>
      </c>
      <c r="N14" s="2" t="inlineStr">
        <is>
          <t>交通运输</t>
        </is>
      </c>
      <c r="O14" s="2" t="n">
        <v>2</v>
      </c>
      <c r="P14" s="2" t="n">
        <v>4</v>
      </c>
      <c r="Q14" s="2" t="inlineStr">
        <is>
          <t>2025-06-05</t>
        </is>
      </c>
      <c r="R14" s="2" t="inlineStr">
        <is>
          <t>初步演示已排期</t>
        </is>
      </c>
    </row>
    <row r="15" ht="20" customHeight="1">
      <c r="A15" s="3" t="inlineStr">
        <is>
          <t>OPP-014</t>
        </is>
      </c>
      <c r="B15" s="3" t="inlineStr">
        <is>
          <t>顶峰资本</t>
        </is>
      </c>
      <c r="C15" s="3" t="inlineStr">
        <is>
          <t>朴俊浩</t>
        </is>
      </c>
      <c r="D15" s="3" t="inlineStr">
        <is>
          <t>华北</t>
        </is>
      </c>
      <c r="E15" s="3" t="inlineStr">
        <is>
          <t>企业版套件</t>
        </is>
      </c>
      <c r="F15" s="3" t="inlineStr">
        <is>
          <t>已赢单</t>
        </is>
      </c>
      <c r="G15" s="3" t="n">
        <v>3450000</v>
      </c>
      <c r="H15" s="3" t="n">
        <v>100</v>
      </c>
      <c r="I15" s="3" t="inlineStr">
        <is>
          <t>2025-02-14</t>
        </is>
      </c>
      <c r="J15" s="3" t="inlineStr">
        <is>
          <t>2025-02-12</t>
        </is>
      </c>
      <c r="K15" s="3" t="inlineStr">
        <is>
          <t>赢单</t>
        </is>
      </c>
      <c r="L15" s="3" t="n">
        <v>3240000</v>
      </c>
      <c r="M15" s="3" t="inlineStr">
        <is>
          <t>高管转介绍</t>
        </is>
      </c>
      <c r="N15" s="3" t="inlineStr">
        <is>
          <t>金融</t>
        </is>
      </c>
      <c r="O15" s="3" t="n">
        <v>6</v>
      </c>
      <c r="P15" s="3" t="n">
        <v>10</v>
      </c>
      <c r="Q15" s="3" t="inlineStr">
        <is>
          <t>2025-02-08</t>
        </is>
      </c>
      <c r="R15" s="3" t="inlineStr">
        <is>
          <t>Q1旗舰大单</t>
        </is>
      </c>
    </row>
    <row r="16" ht="20" customHeight="1">
      <c r="A16" s="2" t="inlineStr">
        <is>
          <t>OPP-015</t>
        </is>
      </c>
      <c r="B16" s="2" t="inlineStr">
        <is>
          <t>远洋港口航运</t>
        </is>
      </c>
      <c r="C16" s="2" t="inlineStr">
        <is>
          <t>赵琳</t>
        </is>
      </c>
      <c r="D16" s="2" t="inlineStr">
        <is>
          <t>华南</t>
        </is>
      </c>
      <c r="E16" s="2" t="inlineStr">
        <is>
          <t>入门版套件</t>
        </is>
      </c>
      <c r="F16" s="2" t="inlineStr">
        <is>
          <t>方案已发送</t>
        </is>
      </c>
      <c r="G16" s="2" t="n">
        <v>540000</v>
      </c>
      <c r="H16" s="2" t="n">
        <v>45</v>
      </c>
      <c r="I16" s="2" t="inlineStr">
        <is>
          <t>2025-06-20</t>
        </is>
      </c>
      <c r="J16" s="2" t="inlineStr"/>
      <c r="K16" s="2" t="inlineStr">
        <is>
          <t>进行中</t>
        </is>
      </c>
      <c r="L16" s="2" t="n">
        <v>575000</v>
      </c>
      <c r="M16" s="2" t="inlineStr">
        <is>
          <t>内部转介绍</t>
        </is>
      </c>
      <c r="N16" s="2" t="inlineStr">
        <is>
          <t>物流</t>
        </is>
      </c>
      <c r="O16" s="2" t="n">
        <v>2</v>
      </c>
      <c r="P16" s="2" t="n">
        <v>14</v>
      </c>
      <c r="Q16" s="2" t="inlineStr">
        <is>
          <t>2025-05-30</t>
        </is>
      </c>
      <c r="R16" s="2" t="inlineStr">
        <is>
          <t>价格敏感</t>
        </is>
      </c>
    </row>
    <row r="17" ht="20" customHeight="1">
      <c r="A17" s="3" t="inlineStr">
        <is>
          <t>OPP-016</t>
        </is>
      </c>
      <c r="B17" s="3" t="inlineStr">
        <is>
          <t>精准航空</t>
        </is>
      </c>
      <c r="C17" s="3" t="inlineStr">
        <is>
          <t>林晓雪</t>
        </is>
      </c>
      <c r="D17" s="3" t="inlineStr">
        <is>
          <t>华北</t>
        </is>
      </c>
      <c r="E17" s="3" t="inlineStr">
        <is>
          <t>数据分析专业版</t>
        </is>
      </c>
      <c r="F17" s="3" t="inlineStr">
        <is>
          <t>谈判中</t>
        </is>
      </c>
      <c r="G17" s="3" t="n">
        <v>1655000</v>
      </c>
      <c r="H17" s="3" t="n">
        <v>75</v>
      </c>
      <c r="I17" s="3" t="inlineStr">
        <is>
          <t>2025-07-31</t>
        </is>
      </c>
      <c r="J17" s="3" t="inlineStr"/>
      <c r="K17" s="3" t="inlineStr">
        <is>
          <t>进行中</t>
        </is>
      </c>
      <c r="L17" s="3" t="n">
        <v>1580000</v>
      </c>
      <c r="M17" s="3" t="inlineStr">
        <is>
          <t>行业展会</t>
        </is>
      </c>
      <c r="N17" s="3" t="inlineStr">
        <is>
          <t>航空航天</t>
        </is>
      </c>
      <c r="O17" s="3" t="n">
        <v>4</v>
      </c>
      <c r="P17" s="3" t="n">
        <v>20</v>
      </c>
      <c r="Q17" s="3" t="inlineStr">
        <is>
          <t>2025-06-10</t>
        </is>
      </c>
      <c r="R17" s="3" t="inlineStr">
        <is>
          <t>POC验证完成</t>
        </is>
      </c>
    </row>
    <row r="18" ht="20" customHeight="1">
      <c r="A18" s="2" t="inlineStr">
        <is>
          <t>OPP-017</t>
        </is>
      </c>
      <c r="B18" s="2" t="inlineStr">
        <is>
          <t>量子动力</t>
        </is>
      </c>
      <c r="C18" s="2" t="inlineStr">
        <is>
          <t>周蕊</t>
        </is>
      </c>
      <c r="D18" s="2" t="inlineStr">
        <is>
          <t>华南</t>
        </is>
      </c>
      <c r="E18" s="2" t="inlineStr">
        <is>
          <t>企业版套件</t>
        </is>
      </c>
      <c r="F18" s="2" t="inlineStr">
        <is>
          <t>已赢单</t>
        </is>
      </c>
      <c r="G18" s="2" t="n">
        <v>4460000</v>
      </c>
      <c r="H18" s="2" t="n">
        <v>100</v>
      </c>
      <c r="I18" s="2" t="inlineStr">
        <is>
          <t>2025-05-25</t>
        </is>
      </c>
      <c r="J18" s="2" t="inlineStr">
        <is>
          <t>2025-05-22</t>
        </is>
      </c>
      <c r="K18" s="2" t="inlineStr">
        <is>
          <t>赢单</t>
        </is>
      </c>
      <c r="L18" s="2" t="n">
        <v>4320000</v>
      </c>
      <c r="M18" s="2" t="inlineStr">
        <is>
          <t>合作伙伴转介</t>
        </is>
      </c>
      <c r="N18" s="2" t="inlineStr">
        <is>
          <t>科技</t>
        </is>
      </c>
      <c r="O18" s="2" t="n">
        <v>8</v>
      </c>
      <c r="P18" s="2" t="n">
        <v>13</v>
      </c>
      <c r="Q18" s="2" t="inlineStr">
        <is>
          <t>2025-05-18</t>
        </is>
      </c>
      <c r="R18" s="2" t="inlineStr">
        <is>
          <t>华南历史最大单</t>
        </is>
      </c>
    </row>
    <row r="19" ht="20" customHeight="1">
      <c r="A19" s="3" t="inlineStr">
        <is>
          <t>OPP-018</t>
        </is>
      </c>
      <c r="B19" s="3" t="inlineStr">
        <is>
          <t>真实地产</t>
        </is>
      </c>
      <c r="C19" s="3" t="inlineStr">
        <is>
          <t>陈伟明</t>
        </is>
      </c>
      <c r="D19" s="3" t="inlineStr">
        <is>
          <t>华东</t>
        </is>
      </c>
      <c r="E19" s="3" t="inlineStr">
        <is>
          <t>入门版套件</t>
        </is>
      </c>
      <c r="F19" s="3" t="inlineStr">
        <is>
          <t>已输单</t>
        </is>
      </c>
      <c r="G19" s="3" t="n">
        <v>395000</v>
      </c>
      <c r="H19" s="3" t="n">
        <v>0</v>
      </c>
      <c r="I19" s="3" t="inlineStr">
        <is>
          <t>2025-03-10</t>
        </is>
      </c>
      <c r="J19" s="3" t="inlineStr">
        <is>
          <t>2025-03-07</t>
        </is>
      </c>
      <c r="K19" s="3" t="inlineStr">
        <is>
          <t>输单</t>
        </is>
      </c>
      <c r="L19" s="3" t="n">
        <v>575000</v>
      </c>
      <c r="M19" s="3" t="inlineStr">
        <is>
          <t>网站入站</t>
        </is>
      </c>
      <c r="N19" s="3" t="inlineStr">
        <is>
          <t>房地产</t>
        </is>
      </c>
      <c r="O19" s="3" t="n">
        <v>1</v>
      </c>
      <c r="P19" s="3" t="n">
        <v>25</v>
      </c>
      <c r="Q19" s="3" t="inlineStr">
        <is>
          <t>2025-03-01</t>
        </is>
      </c>
      <c r="R19" s="3" t="inlineStr">
        <is>
          <t>选择免费竞品</t>
        </is>
      </c>
    </row>
    <row r="20" ht="20" customHeight="1">
      <c r="A20" s="2" t="inlineStr">
        <is>
          <t>OPP-019</t>
        </is>
      </c>
      <c r="B20" s="2" t="inlineStr">
        <is>
          <t>银河教育</t>
        </is>
      </c>
      <c r="C20" s="2" t="inlineStr">
        <is>
          <t>朴俊浩</t>
        </is>
      </c>
      <c r="D20" s="2" t="inlineStr">
        <is>
          <t>华北</t>
        </is>
      </c>
      <c r="E20" s="2" t="inlineStr">
        <is>
          <t>数据分析专业版</t>
        </is>
      </c>
      <c r="F20" s="2" t="inlineStr">
        <is>
          <t>方案已发送</t>
        </is>
      </c>
      <c r="G20" s="2" t="n">
        <v>1400000</v>
      </c>
      <c r="H20" s="2" t="n">
        <v>60</v>
      </c>
      <c r="I20" s="2" t="inlineStr">
        <is>
          <t>2025-07-10</t>
        </is>
      </c>
      <c r="J20" s="2" t="inlineStr"/>
      <c r="K20" s="2" t="inlineStr">
        <is>
          <t>进行中</t>
        </is>
      </c>
      <c r="L20" s="2" t="n">
        <v>1440000</v>
      </c>
      <c r="M20" s="2" t="inlineStr">
        <is>
          <t>合作伙伴转介</t>
        </is>
      </c>
      <c r="N20" s="2" t="inlineStr">
        <is>
          <t>教育</t>
        </is>
      </c>
      <c r="O20" s="2" t="n">
        <v>3</v>
      </c>
      <c r="P20" s="2" t="n">
        <v>7</v>
      </c>
      <c r="Q20" s="2" t="inlineStr">
        <is>
          <t>2025-06-08</t>
        </is>
      </c>
      <c r="R20" s="2" t="inlineStr">
        <is>
          <t>等待董事会签批</t>
        </is>
      </c>
    </row>
    <row r="21" ht="20" customHeight="1">
      <c r="A21" s="3" t="inlineStr">
        <is>
          <t>OPP-020</t>
        </is>
      </c>
      <c r="B21" s="3" t="inlineStr">
        <is>
          <t>层云矿业</t>
        </is>
      </c>
      <c r="C21" s="3" t="inlineStr">
        <is>
          <t>赵琳</t>
        </is>
      </c>
      <c r="D21" s="3" t="inlineStr">
        <is>
          <t>华北</t>
        </is>
      </c>
      <c r="E21" s="3" t="inlineStr">
        <is>
          <t>合规模块</t>
        </is>
      </c>
      <c r="F21" s="3" t="inlineStr">
        <is>
          <t>发现需求</t>
        </is>
      </c>
      <c r="G21" s="3" t="n">
        <v>1080000</v>
      </c>
      <c r="H21" s="3" t="n">
        <v>20</v>
      </c>
      <c r="I21" s="3" t="inlineStr">
        <is>
          <t>2025-09-01</t>
        </is>
      </c>
      <c r="J21" s="3" t="inlineStr"/>
      <c r="K21" s="3" t="inlineStr">
        <is>
          <t>进行中</t>
        </is>
      </c>
      <c r="L21" s="3" t="n">
        <v>1150000</v>
      </c>
      <c r="M21" s="3" t="inlineStr">
        <is>
          <t>冷外呼</t>
        </is>
      </c>
      <c r="N21" s="3" t="inlineStr">
        <is>
          <t>采矿业</t>
        </is>
      </c>
      <c r="O21" s="3" t="n">
        <v>2</v>
      </c>
      <c r="P21" s="3" t="n">
        <v>3</v>
      </c>
      <c r="Q21" s="3" t="inlineStr">
        <is>
          <t>2025-06-12</t>
        </is>
      </c>
      <c r="R21" s="3" t="inlineStr">
        <is>
          <t>早期，需要资质评估</t>
        </is>
      </c>
    </row>
    <row r="22" ht="20" customHeight="1">
      <c r="A22" s="2" t="inlineStr">
        <is>
          <t>OPP-021</t>
        </is>
      </c>
      <c r="B22" s="2" t="inlineStr">
        <is>
          <t>宏远金融</t>
        </is>
      </c>
      <c r="C22" s="2" t="inlineStr">
        <is>
          <t>林晓雪</t>
        </is>
      </c>
      <c r="D22" s="2" t="inlineStr">
        <is>
          <t>华东</t>
        </is>
      </c>
      <c r="E22" s="2" t="inlineStr">
        <is>
          <t>数据分析专业版</t>
        </is>
      </c>
      <c r="F22" s="2" t="inlineStr">
        <is>
          <t>已赢单</t>
        </is>
      </c>
      <c r="G22" s="2" t="n">
        <v>1905000</v>
      </c>
      <c r="H22" s="2" t="n">
        <v>100</v>
      </c>
      <c r="I22" s="2" t="inlineStr">
        <is>
          <t>2025-04-05</t>
        </is>
      </c>
      <c r="J22" s="2" t="inlineStr">
        <is>
          <t>2025-04-03</t>
        </is>
      </c>
      <c r="K22" s="2" t="inlineStr">
        <is>
          <t>赢单</t>
        </is>
      </c>
      <c r="L22" s="2" t="n">
        <v>1800000</v>
      </c>
      <c r="M22" s="2" t="inlineStr">
        <is>
          <t>高管转介绍</t>
        </is>
      </c>
      <c r="N22" s="2" t="inlineStr">
        <is>
          <t>金融</t>
        </is>
      </c>
      <c r="O22" s="2" t="n">
        <v>4</v>
      </c>
      <c r="P22" s="2" t="n">
        <v>11</v>
      </c>
      <c r="Q22" s="2" t="inlineStr">
        <is>
          <t>2025-03-28</t>
        </is>
      </c>
      <c r="R22" s="2" t="inlineStr">
        <is>
          <t>多产品捆绑销售</t>
        </is>
      </c>
    </row>
    <row r="23" ht="20" customHeight="1">
      <c r="A23" s="3" t="inlineStr">
        <is>
          <t>OPP-022</t>
        </is>
      </c>
      <c r="B23" s="3" t="inlineStr">
        <is>
          <t>旋涡云科技</t>
        </is>
      </c>
      <c r="C23" s="3" t="inlineStr">
        <is>
          <t>周蕊</t>
        </is>
      </c>
      <c r="D23" s="3" t="inlineStr">
        <is>
          <t>华南</t>
        </is>
      </c>
      <c r="E23" s="3" t="inlineStr">
        <is>
          <t>企业版套件</t>
        </is>
      </c>
      <c r="F23" s="3" t="inlineStr">
        <is>
          <t>谈判中</t>
        </is>
      </c>
      <c r="G23" s="3" t="n">
        <v>2445000</v>
      </c>
      <c r="H23" s="3" t="n">
        <v>80</v>
      </c>
      <c r="I23" s="3" t="inlineStr">
        <is>
          <t>2025-08-15</t>
        </is>
      </c>
      <c r="J23" s="3" t="inlineStr"/>
      <c r="K23" s="3" t="inlineStr">
        <is>
          <t>进行中</t>
        </is>
      </c>
      <c r="L23" s="3" t="n">
        <v>2300000</v>
      </c>
      <c r="M23" s="3" t="inlineStr">
        <is>
          <t>内部转介绍</t>
        </is>
      </c>
      <c r="N23" s="3" t="inlineStr">
        <is>
          <t>科技</t>
        </is>
      </c>
      <c r="O23" s="3" t="n">
        <v>5</v>
      </c>
      <c r="P23" s="3" t="n">
        <v>17</v>
      </c>
      <c r="Q23" s="3" t="inlineStr">
        <is>
          <t>2025-06-01</t>
        </is>
      </c>
      <c r="R23" s="3" t="inlineStr">
        <is>
          <t>合同法务审核</t>
        </is>
      </c>
    </row>
    <row r="24" ht="20" customHeight="1">
      <c r="A24" s="2" t="inlineStr">
        <is>
          <t>OPP-023</t>
        </is>
      </c>
      <c r="B24" s="2" t="inlineStr">
        <is>
          <t>浪潮通信</t>
        </is>
      </c>
      <c r="C24" s="2" t="inlineStr">
        <is>
          <t>陈伟明</t>
        </is>
      </c>
      <c r="D24" s="2" t="inlineStr">
        <is>
          <t>华东</t>
        </is>
      </c>
      <c r="E24" s="2" t="inlineStr">
        <is>
          <t>合规模块</t>
        </is>
      </c>
      <c r="F24" s="2" t="inlineStr">
        <is>
          <t>已赢单</t>
        </is>
      </c>
      <c r="G24" s="2" t="n">
        <v>2120000</v>
      </c>
      <c r="H24" s="2" t="n">
        <v>100</v>
      </c>
      <c r="I24" s="2" t="inlineStr">
        <is>
          <t>2025-06-01</t>
        </is>
      </c>
      <c r="J24" s="2" t="inlineStr">
        <is>
          <t>2025-05-30</t>
        </is>
      </c>
      <c r="K24" s="2" t="inlineStr">
        <is>
          <t>赢单</t>
        </is>
      </c>
      <c r="L24" s="2" t="n">
        <v>2015000</v>
      </c>
      <c r="M24" s="2" t="inlineStr">
        <is>
          <t>合作伙伴转介</t>
        </is>
      </c>
      <c r="N24" s="2" t="inlineStr">
        <is>
          <t>电信</t>
        </is>
      </c>
      <c r="O24" s="2" t="n">
        <v>3</v>
      </c>
      <c r="P24" s="2" t="n">
        <v>8</v>
      </c>
      <c r="Q24" s="2" t="inlineStr">
        <is>
          <t>2025-05-25</t>
        </is>
      </c>
      <c r="R24" s="2" t="inlineStr">
        <is>
          <t>续约增购潜力</t>
        </is>
      </c>
    </row>
    <row r="25" ht="20" customHeight="1">
      <c r="A25" s="3" t="inlineStr">
        <is>
          <t>OPP-024</t>
        </is>
      </c>
      <c r="B25" s="3" t="inlineStr">
        <is>
          <t>睿数科技</t>
        </is>
      </c>
      <c r="C25" s="3" t="inlineStr">
        <is>
          <t>朴俊浩</t>
        </is>
      </c>
      <c r="D25" s="3" t="inlineStr">
        <is>
          <t>华北</t>
        </is>
      </c>
      <c r="E25" s="3" t="inlineStr">
        <is>
          <t>数据分析专业版</t>
        </is>
      </c>
      <c r="F25" s="3" t="inlineStr">
        <is>
          <t>方案已发送</t>
        </is>
      </c>
      <c r="G25" s="3" t="n">
        <v>1260000</v>
      </c>
      <c r="H25" s="3" t="n">
        <v>55</v>
      </c>
      <c r="I25" s="3" t="inlineStr">
        <is>
          <t>2025-07-20</t>
        </is>
      </c>
      <c r="J25" s="3" t="inlineStr"/>
      <c r="K25" s="3" t="inlineStr">
        <is>
          <t>进行中</t>
        </is>
      </c>
      <c r="L25" s="3" t="n">
        <v>1295000</v>
      </c>
      <c r="M25" s="3" t="inlineStr">
        <is>
          <t>领英广告</t>
        </is>
      </c>
      <c r="N25" s="3" t="inlineStr">
        <is>
          <t>科技</t>
        </is>
      </c>
      <c r="O25" s="3" t="n">
        <v>3</v>
      </c>
      <c r="P25" s="3" t="n">
        <v>10</v>
      </c>
      <c r="Q25" s="3" t="inlineStr">
        <is>
          <t>2025-06-05</t>
        </is>
      </c>
      <c r="R25" s="3" t="inlineStr">
        <is>
          <t>演示反馈积极</t>
        </is>
      </c>
    </row>
    <row r="26" ht="20" customHeight="1">
      <c r="A26" s="2" t="inlineStr">
        <is>
          <t>OPP-025</t>
        </is>
      </c>
      <c r="B26" s="2" t="inlineStr">
        <is>
          <t>丰收农业</t>
        </is>
      </c>
      <c r="C26" s="2" t="inlineStr">
        <is>
          <t>赵琳</t>
        </is>
      </c>
      <c r="D26" s="2" t="inlineStr">
        <is>
          <t>华南</t>
        </is>
      </c>
      <c r="E26" s="2" t="inlineStr">
        <is>
          <t>入门版套件</t>
        </is>
      </c>
      <c r="F26" s="2" t="inlineStr">
        <is>
          <t>发现需求</t>
        </is>
      </c>
      <c r="G26" s="2" t="n">
        <v>465000</v>
      </c>
      <c r="H26" s="2" t="n">
        <v>30</v>
      </c>
      <c r="I26" s="2" t="inlineStr">
        <is>
          <t>2025-09-15</t>
        </is>
      </c>
      <c r="J26" s="2" t="inlineStr"/>
      <c r="K26" s="2" t="inlineStr">
        <is>
          <t>进行中</t>
        </is>
      </c>
      <c r="L26" s="2" t="n">
        <v>505000</v>
      </c>
      <c r="M26" s="2" t="inlineStr">
        <is>
          <t>行业展会</t>
        </is>
      </c>
      <c r="N26" s="2" t="inlineStr">
        <is>
          <t>农业</t>
        </is>
      </c>
      <c r="O26" s="2" t="n">
        <v>2</v>
      </c>
      <c r="P26" s="2" t="n">
        <v>6</v>
      </c>
      <c r="Q26" s="2" t="inlineStr">
        <is>
          <t>2025-06-10</t>
        </is>
      </c>
      <c r="R26" s="2" t="inlineStr">
        <is>
          <t>探索IoT集成</t>
        </is>
      </c>
    </row>
    <row r="27" ht="20" customHeight="1">
      <c r="A27" s="3" t="inlineStr">
        <is>
          <t>OPP-026</t>
        </is>
      </c>
      <c r="B27" s="3" t="inlineStr">
        <is>
          <t>天顶保险</t>
        </is>
      </c>
      <c r="C27" s="3" t="inlineStr">
        <is>
          <t>林晓雪</t>
        </is>
      </c>
      <c r="D27" s="3" t="inlineStr">
        <is>
          <t>华北</t>
        </is>
      </c>
      <c r="E27" s="3" t="inlineStr">
        <is>
          <t>合规模块</t>
        </is>
      </c>
      <c r="F27" s="3" t="inlineStr">
        <is>
          <t>已赢单</t>
        </is>
      </c>
      <c r="G27" s="3" t="n">
        <v>2230000</v>
      </c>
      <c r="H27" s="3" t="n">
        <v>100</v>
      </c>
      <c r="I27" s="3" t="inlineStr">
        <is>
          <t>2025-03-28</t>
        </is>
      </c>
      <c r="J27" s="3" t="inlineStr">
        <is>
          <t>2025-03-25</t>
        </is>
      </c>
      <c r="K27" s="3" t="inlineStr">
        <is>
          <t>赢单</t>
        </is>
      </c>
      <c r="L27" s="3" t="n">
        <v>2085000</v>
      </c>
      <c r="M27" s="3" t="inlineStr">
        <is>
          <t>内部转介绍</t>
        </is>
      </c>
      <c r="N27" s="3" t="inlineStr">
        <is>
          <t>保险</t>
        </is>
      </c>
      <c r="O27" s="3" t="n">
        <v>4</v>
      </c>
      <c r="P27" s="3" t="n">
        <v>9</v>
      </c>
      <c r="Q27" s="3" t="inlineStr">
        <is>
          <t>2025-03-20</t>
        </is>
      </c>
      <c r="R27" s="3" t="inlineStr">
        <is>
          <t>合规驱动紧迫性</t>
        </is>
      </c>
    </row>
    <row r="28" ht="20" customHeight="1">
      <c r="A28" s="2" t="inlineStr">
        <is>
          <t>OPP-027</t>
        </is>
      </c>
      <c r="B28" s="2" t="inlineStr">
        <is>
          <t>阿尔法基因组</t>
        </is>
      </c>
      <c r="C28" s="2" t="inlineStr">
        <is>
          <t>周蕊</t>
        </is>
      </c>
      <c r="D28" s="2" t="inlineStr">
        <is>
          <t>华南</t>
        </is>
      </c>
      <c r="E28" s="2" t="inlineStr">
        <is>
          <t>数据分析专业版</t>
        </is>
      </c>
      <c r="F28" s="2" t="inlineStr">
        <is>
          <t>已输单</t>
        </is>
      </c>
      <c r="G28" s="2" t="n">
        <v>1580000</v>
      </c>
      <c r="H28" s="2" t="n">
        <v>0</v>
      </c>
      <c r="I28" s="2" t="inlineStr">
        <is>
          <t>2025-02-20</t>
        </is>
      </c>
      <c r="J28" s="2" t="inlineStr">
        <is>
          <t>2025-02-18</t>
        </is>
      </c>
      <c r="K28" s="2" t="inlineStr">
        <is>
          <t>输单</t>
        </is>
      </c>
      <c r="L28" s="2" t="n">
        <v>1655000</v>
      </c>
      <c r="M28" s="2" t="inlineStr">
        <is>
          <t>合作伙伴转介</t>
        </is>
      </c>
      <c r="N28" s="2" t="inlineStr">
        <is>
          <t>生物科技</t>
        </is>
      </c>
      <c r="O28" s="2" t="n">
        <v>3</v>
      </c>
      <c r="P28" s="2" t="n">
        <v>28</v>
      </c>
      <c r="Q28" s="2" t="inlineStr">
        <is>
          <t>2025-02-10</t>
        </is>
      </c>
      <c r="R28" s="2" t="inlineStr">
        <is>
          <t>中途预算削减</t>
        </is>
      </c>
    </row>
    <row r="29" ht="20" customHeight="1">
      <c r="A29" s="3" t="inlineStr">
        <is>
          <t>OPP-028</t>
        </is>
      </c>
      <c r="B29" s="3" t="inlineStr">
        <is>
          <t>蓝星零售</t>
        </is>
      </c>
      <c r="C29" s="3" t="inlineStr">
        <is>
          <t>陈伟明</t>
        </is>
      </c>
      <c r="D29" s="3" t="inlineStr">
        <is>
          <t>华东</t>
        </is>
      </c>
      <c r="E29" s="3" t="inlineStr">
        <is>
          <t>入门版套件</t>
        </is>
      </c>
      <c r="F29" s="3" t="inlineStr">
        <is>
          <t>谈判中</t>
        </is>
      </c>
      <c r="G29" s="3" t="n">
        <v>575000</v>
      </c>
      <c r="H29" s="3" t="n">
        <v>70</v>
      </c>
      <c r="I29" s="3" t="inlineStr">
        <is>
          <t>2025-07-05</t>
        </is>
      </c>
      <c r="J29" s="3" t="inlineStr"/>
      <c r="K29" s="3" t="inlineStr">
        <is>
          <t>进行中</t>
        </is>
      </c>
      <c r="L29" s="3" t="n">
        <v>645000</v>
      </c>
      <c r="M29" s="3" t="inlineStr">
        <is>
          <t>网站入站</t>
        </is>
      </c>
      <c r="N29" s="3" t="inlineStr">
        <is>
          <t>零售</t>
        </is>
      </c>
      <c r="O29" s="3" t="n">
        <v>2</v>
      </c>
      <c r="P29" s="3" t="n">
        <v>13</v>
      </c>
      <c r="Q29" s="3" t="inlineStr">
        <is>
          <t>2025-06-08</t>
        </is>
      </c>
      <c r="R29" s="3" t="inlineStr">
        <is>
          <t>折扣谈判</t>
        </is>
      </c>
    </row>
    <row r="30" ht="20" customHeight="1">
      <c r="A30" s="2" t="inlineStr">
        <is>
          <t>OPP-029</t>
        </is>
      </c>
      <c r="B30" s="2" t="inlineStr">
        <is>
          <t>层云电力</t>
        </is>
      </c>
      <c r="C30" s="2" t="inlineStr">
        <is>
          <t>朴俊浩</t>
        </is>
      </c>
      <c r="D30" s="2" t="inlineStr">
        <is>
          <t>华北</t>
        </is>
      </c>
      <c r="E30" s="2" t="inlineStr">
        <is>
          <t>企业版套件</t>
        </is>
      </c>
      <c r="F30" s="2" t="inlineStr">
        <is>
          <t>方案已发送</t>
        </is>
      </c>
      <c r="G30" s="2" t="n">
        <v>3095000</v>
      </c>
      <c r="H30" s="2" t="n">
        <v>50</v>
      </c>
      <c r="I30" s="2" t="inlineStr">
        <is>
          <t>2025-08-31</t>
        </is>
      </c>
      <c r="J30" s="2" t="inlineStr"/>
      <c r="K30" s="2" t="inlineStr">
        <is>
          <t>进行中</t>
        </is>
      </c>
      <c r="L30" s="2" t="n">
        <v>2880000</v>
      </c>
      <c r="M30" s="2" t="inlineStr">
        <is>
          <t>冷外呼</t>
        </is>
      </c>
      <c r="N30" s="2" t="inlineStr">
        <is>
          <t>能源</t>
        </is>
      </c>
      <c r="O30" s="2" t="n">
        <v>5</v>
      </c>
      <c r="P30" s="2" t="n">
        <v>8</v>
      </c>
      <c r="Q30" s="2" t="inlineStr">
        <is>
          <t>2025-06-12</t>
        </is>
      </c>
      <c r="R30" s="2" t="inlineStr">
        <is>
          <t>首个公用事业行业单子</t>
        </is>
      </c>
    </row>
    <row r="31" ht="20" customHeight="1">
      <c r="A31" s="3" t="inlineStr">
        <is>
          <t>OPP-030</t>
        </is>
      </c>
      <c r="B31" s="3" t="inlineStr">
        <is>
          <t>梦境空间建筑</t>
        </is>
      </c>
      <c r="C31" s="3" t="inlineStr">
        <is>
          <t>赵琳</t>
        </is>
      </c>
      <c r="D31" s="3" t="inlineStr">
        <is>
          <t>华南</t>
        </is>
      </c>
      <c r="E31" s="3" t="inlineStr">
        <is>
          <t>入门版套件</t>
        </is>
      </c>
      <c r="F31" s="3" t="inlineStr">
        <is>
          <t>已赢单</t>
        </is>
      </c>
      <c r="G31" s="3" t="n">
        <v>505000</v>
      </c>
      <c r="H31" s="3" t="n">
        <v>100</v>
      </c>
      <c r="I31" s="3" t="inlineStr">
        <is>
          <t>2025-05-05</t>
        </is>
      </c>
      <c r="J31" s="3" t="inlineStr">
        <is>
          <t>2025-05-03</t>
        </is>
      </c>
      <c r="K31" s="3" t="inlineStr">
        <is>
          <t>赢单</t>
        </is>
      </c>
      <c r="L31" s="3" t="n">
        <v>430000</v>
      </c>
      <c r="M31" s="3" t="inlineStr">
        <is>
          <t>网站入站</t>
        </is>
      </c>
      <c r="N31" s="3" t="inlineStr">
        <is>
          <t>建筑设计</t>
        </is>
      </c>
      <c r="O31" s="3" t="n">
        <v>1</v>
      </c>
      <c r="P31" s="3" t="n">
        <v>7</v>
      </c>
      <c r="Q31" s="3" t="inlineStr">
        <is>
          <t>2025-04-28</t>
        </is>
      </c>
      <c r="R31" s="3" t="inlineStr">
        <is>
          <t>快速签单，设计公司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商机总数</t>
        </is>
      </c>
      <c r="B2" s="2">
        <f>COUNTA('销售流水线'!A2:A32)</f>
        <v/>
      </c>
    </row>
    <row r="3">
      <c r="A3" s="3" t="inlineStr">
        <is>
          <t>已赢单数量</t>
        </is>
      </c>
      <c r="B3" s="3">
        <f>COUNTIF('销售流水线'!K2:K32,"赢单")</f>
        <v/>
      </c>
    </row>
    <row r="4">
      <c r="A4" s="2" t="inlineStr">
        <is>
          <t>已输单数量</t>
        </is>
      </c>
      <c r="B4" s="2">
        <f>COUNTIF('销售流水线'!K2:K32,"输单")</f>
        <v/>
      </c>
    </row>
    <row r="5">
      <c r="A5" s="3" t="inlineStr">
        <is>
          <t>赢单率（%）</t>
        </is>
      </c>
      <c r="B5" s="3">
        <f>IFERROR(B3/(B3+B4)*100,0)</f>
        <v/>
      </c>
    </row>
    <row r="6">
      <c r="A6" s="2" t="inlineStr">
        <is>
          <t>已赢单金额合计（元）</t>
        </is>
      </c>
      <c r="B6" s="2">
        <f>SUMIF('销售流水线'!K2:K32,"赢单",'销售流水线'!G2:G32)</f>
        <v/>
      </c>
    </row>
    <row r="7">
      <c r="A7" s="3" t="inlineStr">
        <is>
          <t>在途管道金额合计（元）</t>
        </is>
      </c>
      <c r="B7" s="3">
        <f>SUMIF('销售流水线'!F2:F32,"进行中",'销售流水线'!G2:G32)</f>
        <v/>
      </c>
    </row>
    <row r="8">
      <c r="A8" s="2" t="inlineStr">
        <is>
          <t>销售配额合计（元）</t>
        </is>
      </c>
      <c r="B8" s="2">
        <f>SUM('销售流水线'!L2:L32)</f>
        <v/>
      </c>
    </row>
    <row r="9">
      <c r="A9" s="3" t="inlineStr">
        <is>
          <t>配额达成率（%）</t>
        </is>
      </c>
      <c r="B9" s="3">
        <f>IFERROR(B6/B8*100,0)</f>
        <v/>
      </c>
    </row>
    <row r="10">
      <c r="A10" s="2" t="inlineStr">
        <is>
          <t>已赢单平均金额（元）</t>
        </is>
      </c>
      <c r="B10" s="2">
        <f>IFERROR(B6/B3,0)</f>
        <v/>
      </c>
    </row>
    <row r="11">
      <c r="A11" s="3" t="inlineStr">
        <is>
          <t>平均在阶段天数</t>
        </is>
      </c>
      <c r="B11" s="3">
        <f>AVERAGE('销售流水线'!P2:P32)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2026-05-11T07:29:06Z</dcterms:created>
  <dcterms:modified xmlns:dcterms="http://purl.org/dc/terms/" xmlns:xsi="http://www.w3.org/2001/XMLSchema-instance" xsi:type="dcterms:W3CDTF">2026-05-11T07:29:06Z</dcterms:modified>
</cp:coreProperties>
</file>